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3C58045EAD3D6D/Desktop/Forecasting/"/>
    </mc:Choice>
  </mc:AlternateContent>
  <xr:revisionPtr revIDLastSave="72" documentId="8_{97B66510-556A-4972-B3C7-478AA700E71F}" xr6:coauthVersionLast="47" xr6:coauthVersionMax="47" xr10:uidLastSave="{CB396D87-A765-41BB-9BB9-320EE146C5AE}"/>
  <bookViews>
    <workbookView xWindow="-108" yWindow="-108" windowWidth="23256" windowHeight="12456" activeTab="2" xr2:uid="{7BBAFB2E-136E-4C2C-98A4-82304FF857B6}"/>
  </bookViews>
  <sheets>
    <sheet name="Sheet1" sheetId="1" r:id="rId1"/>
    <sheet name="Sheet4" sheetId="4" r:id="rId2"/>
    <sheet name="Sheet3" sheetId="3" r:id="rId3"/>
    <sheet name="Sheet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5" l="1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8" i="5"/>
  <c r="I37" i="5"/>
  <c r="J37" i="5" s="1"/>
  <c r="K37" i="5" s="1"/>
  <c r="H37" i="5"/>
  <c r="I36" i="5"/>
  <c r="J36" i="5" s="1"/>
  <c r="K36" i="5" s="1"/>
  <c r="H36" i="5"/>
  <c r="I35" i="5"/>
  <c r="J35" i="5" s="1"/>
  <c r="K35" i="5" s="1"/>
  <c r="H35" i="5"/>
  <c r="I34" i="5"/>
  <c r="J34" i="5" s="1"/>
  <c r="K34" i="5" s="1"/>
  <c r="H34" i="5"/>
  <c r="I33" i="5"/>
  <c r="J33" i="5" s="1"/>
  <c r="K33" i="5" s="1"/>
  <c r="H33" i="5"/>
  <c r="I32" i="5"/>
  <c r="J32" i="5" s="1"/>
  <c r="K32" i="5" s="1"/>
  <c r="H32" i="5"/>
  <c r="I31" i="5"/>
  <c r="J31" i="5" s="1"/>
  <c r="K31" i="5" s="1"/>
  <c r="H31" i="5"/>
  <c r="D31" i="5"/>
  <c r="E31" i="5" s="1"/>
  <c r="J30" i="5"/>
  <c r="K30" i="5" s="1"/>
  <c r="I30" i="5"/>
  <c r="H30" i="5"/>
  <c r="D30" i="5"/>
  <c r="I29" i="5"/>
  <c r="J29" i="5" s="1"/>
  <c r="K29" i="5" s="1"/>
  <c r="H29" i="5"/>
  <c r="D29" i="5"/>
  <c r="E30" i="5" s="1"/>
  <c r="I28" i="5"/>
  <c r="J28" i="5" s="1"/>
  <c r="K28" i="5" s="1"/>
  <c r="H28" i="5"/>
  <c r="D28" i="5"/>
  <c r="E29" i="5" s="1"/>
  <c r="I27" i="5"/>
  <c r="J27" i="5" s="1"/>
  <c r="K27" i="5" s="1"/>
  <c r="H27" i="5"/>
  <c r="D27" i="5"/>
  <c r="I26" i="5"/>
  <c r="J26" i="5" s="1"/>
  <c r="K26" i="5" s="1"/>
  <c r="H26" i="5"/>
  <c r="D26" i="5"/>
  <c r="E27" i="5" s="1"/>
  <c r="I25" i="5"/>
  <c r="J25" i="5" s="1"/>
  <c r="K25" i="5" s="1"/>
  <c r="H25" i="5"/>
  <c r="D25" i="5"/>
  <c r="I24" i="5"/>
  <c r="J24" i="5" s="1"/>
  <c r="K24" i="5" s="1"/>
  <c r="H24" i="5"/>
  <c r="D24" i="5"/>
  <c r="E25" i="5" s="1"/>
  <c r="I23" i="5"/>
  <c r="J23" i="5" s="1"/>
  <c r="K23" i="5" s="1"/>
  <c r="H23" i="5"/>
  <c r="D23" i="5"/>
  <c r="E24" i="5" s="1"/>
  <c r="I22" i="5"/>
  <c r="J22" i="5" s="1"/>
  <c r="K22" i="5" s="1"/>
  <c r="H22" i="5"/>
  <c r="D22" i="5"/>
  <c r="I21" i="5"/>
  <c r="J21" i="5" s="1"/>
  <c r="K21" i="5" s="1"/>
  <c r="H21" i="5"/>
  <c r="D21" i="5"/>
  <c r="E22" i="5" s="1"/>
  <c r="I20" i="5"/>
  <c r="J20" i="5" s="1"/>
  <c r="K20" i="5" s="1"/>
  <c r="H20" i="5"/>
  <c r="D20" i="5"/>
  <c r="I19" i="5"/>
  <c r="J19" i="5" s="1"/>
  <c r="K19" i="5" s="1"/>
  <c r="H19" i="5"/>
  <c r="D19" i="5"/>
  <c r="I18" i="5"/>
  <c r="J18" i="5" s="1"/>
  <c r="K18" i="5" s="1"/>
  <c r="H18" i="5"/>
  <c r="D18" i="5"/>
  <c r="E19" i="5" s="1"/>
  <c r="I17" i="5"/>
  <c r="J17" i="5" s="1"/>
  <c r="K17" i="5" s="1"/>
  <c r="H17" i="5"/>
  <c r="D17" i="5"/>
  <c r="I16" i="5"/>
  <c r="J16" i="5" s="1"/>
  <c r="K16" i="5" s="1"/>
  <c r="H16" i="5"/>
  <c r="D16" i="5"/>
  <c r="E17" i="5" s="1"/>
  <c r="I15" i="5"/>
  <c r="J15" i="5" s="1"/>
  <c r="K15" i="5" s="1"/>
  <c r="H15" i="5"/>
  <c r="D15" i="5"/>
  <c r="J14" i="5"/>
  <c r="K14" i="5" s="1"/>
  <c r="I14" i="5"/>
  <c r="H14" i="5"/>
  <c r="D14" i="5"/>
  <c r="I13" i="5"/>
  <c r="J13" i="5" s="1"/>
  <c r="K13" i="5" s="1"/>
  <c r="H13" i="5"/>
  <c r="D13" i="5"/>
  <c r="E14" i="5" s="1"/>
  <c r="I12" i="5"/>
  <c r="J12" i="5" s="1"/>
  <c r="K12" i="5" s="1"/>
  <c r="H12" i="5"/>
  <c r="D12" i="5"/>
  <c r="E13" i="5" s="1"/>
  <c r="I11" i="5"/>
  <c r="J11" i="5" s="1"/>
  <c r="K11" i="5" s="1"/>
  <c r="H11" i="5"/>
  <c r="D11" i="5"/>
  <c r="I10" i="5"/>
  <c r="J10" i="5" s="1"/>
  <c r="K10" i="5" s="1"/>
  <c r="H10" i="5"/>
  <c r="D10" i="5"/>
  <c r="I9" i="5"/>
  <c r="J9" i="5" s="1"/>
  <c r="K9" i="5" s="1"/>
  <c r="H9" i="5"/>
  <c r="D9" i="5"/>
  <c r="I8" i="5"/>
  <c r="J8" i="5" s="1"/>
  <c r="K8" i="5" s="1"/>
  <c r="H8" i="5"/>
  <c r="D8" i="5"/>
  <c r="E9" i="5" s="1"/>
  <c r="I7" i="5"/>
  <c r="J7" i="5" s="1"/>
  <c r="K7" i="5" s="1"/>
  <c r="H7" i="5"/>
  <c r="D7" i="5"/>
  <c r="E8" i="5" s="1"/>
  <c r="I6" i="5"/>
  <c r="J6" i="5" s="1"/>
  <c r="K6" i="5" s="1"/>
  <c r="H6" i="5"/>
  <c r="I5" i="5"/>
  <c r="J5" i="5" s="1"/>
  <c r="K5" i="5" s="1"/>
  <c r="H5" i="5"/>
  <c r="I4" i="5"/>
  <c r="J4" i="5" s="1"/>
  <c r="K4" i="5" s="1"/>
  <c r="H4" i="5"/>
  <c r="I3" i="5"/>
  <c r="J3" i="5" s="1"/>
  <c r="K3" i="5" s="1"/>
  <c r="H3" i="5"/>
  <c r="I2" i="5"/>
  <c r="J2" i="5" s="1"/>
  <c r="K2" i="5" s="1"/>
  <c r="H2" i="5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29" i="3"/>
  <c r="E21" i="5" l="1"/>
  <c r="E11" i="5"/>
  <c r="E16" i="5"/>
  <c r="E28" i="5"/>
  <c r="E15" i="5"/>
  <c r="E12" i="5"/>
  <c r="E20" i="5"/>
  <c r="E18" i="5"/>
  <c r="E23" i="5"/>
  <c r="E10" i="5"/>
  <c r="E26" i="5"/>
  <c r="J24" i="3"/>
  <c r="K24" i="3" s="1"/>
  <c r="J29" i="3"/>
  <c r="K29" i="3" s="1"/>
  <c r="J39" i="3"/>
  <c r="K39" i="3" s="1"/>
  <c r="J40" i="3"/>
  <c r="K40" i="3" s="1"/>
  <c r="J42" i="3"/>
  <c r="K42" i="3" s="1"/>
  <c r="J43" i="3"/>
  <c r="K43" i="3" s="1"/>
  <c r="J44" i="3"/>
  <c r="K44" i="3" s="1"/>
  <c r="J45" i="3"/>
  <c r="K45" i="3" s="1"/>
  <c r="J51" i="3"/>
  <c r="K51" i="3" s="1"/>
  <c r="J52" i="3"/>
  <c r="K52" i="3" s="1"/>
  <c r="J53" i="3"/>
  <c r="K53" i="3" s="1"/>
  <c r="J54" i="3"/>
  <c r="K54" i="3" s="1"/>
  <c r="J55" i="3"/>
  <c r="K55" i="3" s="1"/>
  <c r="J56" i="3"/>
  <c r="K56" i="3" s="1"/>
  <c r="J57" i="3"/>
  <c r="K57" i="3" s="1"/>
  <c r="J58" i="3"/>
  <c r="K58" i="3" s="1"/>
  <c r="J59" i="3"/>
  <c r="K59" i="3" s="1"/>
  <c r="J60" i="3"/>
  <c r="J61" i="3"/>
  <c r="J32" i="3"/>
  <c r="K32" i="3" s="1"/>
  <c r="J34" i="3"/>
  <c r="K34" i="3" s="1"/>
  <c r="J35" i="3"/>
  <c r="K35" i="3" s="1"/>
  <c r="J36" i="3"/>
  <c r="K36" i="3" s="1"/>
  <c r="J37" i="3"/>
  <c r="K37" i="3" s="1"/>
  <c r="J38" i="3"/>
  <c r="K38" i="3" s="1"/>
  <c r="J68" i="3"/>
  <c r="J69" i="3"/>
  <c r="J70" i="3"/>
  <c r="H30" i="3"/>
  <c r="H26" i="3"/>
  <c r="H25" i="3"/>
  <c r="H35" i="3"/>
  <c r="H31" i="3"/>
  <c r="H28" i="3"/>
  <c r="H27" i="3"/>
  <c r="J63" i="3"/>
  <c r="J65" i="3"/>
  <c r="J66" i="3"/>
  <c r="J67" i="3"/>
  <c r="J41" i="3"/>
  <c r="K41" i="3" s="1"/>
  <c r="J64" i="3"/>
  <c r="J11" i="3"/>
  <c r="J10" i="3"/>
  <c r="J30" i="3"/>
  <c r="K30" i="3" s="1"/>
  <c r="J31" i="3"/>
  <c r="K31" i="3" s="1"/>
  <c r="J71" i="3"/>
  <c r="H32" i="3"/>
  <c r="H33" i="3"/>
  <c r="H34" i="3"/>
  <c r="J46" i="3"/>
  <c r="K46" i="3" s="1"/>
  <c r="J47" i="3"/>
  <c r="K47" i="3" s="1"/>
  <c r="J48" i="3"/>
  <c r="K48" i="3" s="1"/>
  <c r="J49" i="3"/>
  <c r="K49" i="3" s="1"/>
  <c r="J50" i="3"/>
  <c r="K50" i="3" s="1"/>
  <c r="J62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L4" i="3"/>
  <c r="L5" i="3"/>
  <c r="L6" i="3"/>
  <c r="L7" i="3"/>
  <c r="L8" i="3"/>
  <c r="L3" i="3"/>
  <c r="K4" i="3"/>
  <c r="K5" i="3"/>
  <c r="K6" i="3"/>
  <c r="K7" i="3"/>
  <c r="K8" i="3"/>
  <c r="K9" i="3"/>
  <c r="K10" i="3"/>
  <c r="K11" i="3"/>
  <c r="K12" i="3"/>
  <c r="K13" i="3"/>
  <c r="K14" i="3"/>
  <c r="K3" i="3"/>
  <c r="J12" i="3"/>
  <c r="J13" i="3"/>
  <c r="J14" i="3"/>
  <c r="J9" i="3"/>
  <c r="F39" i="3"/>
  <c r="F41" i="3"/>
  <c r="F37" i="3" l="1"/>
  <c r="H29" i="3"/>
  <c r="J33" i="3"/>
  <c r="K33" i="3" s="1"/>
  <c r="H24" i="3"/>
  <c r="J25" i="3"/>
  <c r="K25" i="3" s="1"/>
  <c r="J27" i="3"/>
  <c r="K27" i="3" s="1"/>
  <c r="J26" i="3"/>
  <c r="K26" i="3" s="1"/>
  <c r="J28" i="3"/>
  <c r="K28" i="3" s="1"/>
  <c r="F38" i="3"/>
  <c r="M13" i="3"/>
  <c r="M12" i="3"/>
  <c r="M8" i="3"/>
  <c r="M11" i="3"/>
  <c r="M7" i="3"/>
  <c r="M10" i="3"/>
  <c r="M5" i="3"/>
  <c r="M14" i="3"/>
  <c r="M6" i="3"/>
  <c r="M3" i="3"/>
  <c r="M4" i="3"/>
  <c r="M9" i="3"/>
  <c r="F42" i="3"/>
  <c r="F40" i="3"/>
  <c r="F44" i="3"/>
  <c r="F53" i="3"/>
  <c r="F36" i="3"/>
  <c r="F35" i="3"/>
  <c r="F52" i="3"/>
  <c r="F51" i="3"/>
  <c r="F30" i="3"/>
  <c r="F43" i="3"/>
  <c r="F34" i="3"/>
  <c r="F33" i="3"/>
  <c r="F47" i="3"/>
  <c r="F46" i="3"/>
  <c r="F50" i="3"/>
  <c r="F49" i="3"/>
  <c r="F48" i="3"/>
  <c r="F45" i="3"/>
  <c r="F32" i="3"/>
  <c r="F31" i="3"/>
  <c r="M15" i="3" l="1"/>
  <c r="N9" i="3" s="1"/>
  <c r="K72" i="3"/>
  <c r="N3" i="3" l="1"/>
  <c r="N4" i="3"/>
  <c r="N5" i="3"/>
  <c r="N6" i="3"/>
  <c r="N7" i="3"/>
  <c r="N8" i="3"/>
  <c r="N13" i="3"/>
  <c r="N12" i="3"/>
  <c r="N11" i="3"/>
  <c r="N10" i="3"/>
  <c r="N14" i="3"/>
</calcChain>
</file>

<file path=xl/sharedStrings.xml><?xml version="1.0" encoding="utf-8"?>
<sst xmlns="http://schemas.openxmlformats.org/spreadsheetml/2006/main" count="130" uniqueCount="55">
  <si>
    <t>Month</t>
  </si>
  <si>
    <t>Sales Data Table</t>
  </si>
  <si>
    <t>2022-23</t>
  </si>
  <si>
    <t>2023-24</t>
  </si>
  <si>
    <t>2024-25</t>
  </si>
  <si>
    <t>Apr</t>
  </si>
  <si>
    <t>Mar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</si>
  <si>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</si>
  <si>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</si>
  <si>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</si>
  <si>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</si>
  <si>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</si>
  <si>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</si>
  <si>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</si>
  <si>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</si>
  <si>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</si>
  <si>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</si>
  <si>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Quantity Sold</t>
  </si>
  <si>
    <t>Month-Year</t>
  </si>
  <si>
    <t>Year</t>
  </si>
  <si>
    <t>2022-2023</t>
  </si>
  <si>
    <t>2023-2024</t>
  </si>
  <si>
    <t>2024-2025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</si>
  <si>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</si>
  <si>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</si>
  <si>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</si>
  <si>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</si>
  <si>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</si>
  <si>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</si>
  <si>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</si>
  <si>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</si>
  <si>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</si>
  <si>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</si>
  <si>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</si>
  <si>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Months</t>
  </si>
  <si>
    <t>Total</t>
  </si>
  <si>
    <t>Trend</t>
  </si>
  <si>
    <t>12 MA</t>
  </si>
  <si>
    <t>Center MA</t>
  </si>
  <si>
    <t>2025-26</t>
  </si>
  <si>
    <t>CMA</t>
  </si>
  <si>
    <t>Calculations</t>
  </si>
  <si>
    <t>SI</t>
  </si>
  <si>
    <t>Adjusted SI</t>
  </si>
  <si>
    <t>Deseasonalize</t>
  </si>
  <si>
    <t>Time Period</t>
  </si>
  <si>
    <t>Forecast</t>
  </si>
  <si>
    <t>APE</t>
  </si>
  <si>
    <t xml:space="preserve">MAPE = </t>
  </si>
  <si>
    <t>Ratio to Moving Average</t>
  </si>
  <si>
    <t>Error %</t>
  </si>
  <si>
    <t>Centered Moving Average</t>
  </si>
  <si>
    <t>12 Point Moving Average</t>
  </si>
  <si>
    <t>Adjusted Seasonal Indices</t>
  </si>
  <si>
    <t>Actual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</si>
</sst>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7" fontId="0" fillId="0" borderId="0" xfId="0" applyNumberFormat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2" fontId="2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10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Seasonality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2022-23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Sheet1!$B$3:$B$14</c:f>
              <c:numCache>
                <c:formatCode>General</c:formatCode>
                <c:ptCount val="12"/>
                <c:pt idx="0">
                  <c:v>512</c:v>
                </c:pt>
                <c:pt idx="1">
                  <c:v>645</c:v>
                </c:pt>
                <c:pt idx="2">
                  <c:v>741</c:v>
                </c:pt>
                <c:pt idx="3">
                  <c:v>589</c:v>
                </c:pt>
                <c:pt idx="4">
                  <c:v>789</c:v>
                </c:pt>
                <c:pt idx="5">
                  <c:v>790</c:v>
                </c:pt>
                <c:pt idx="6">
                  <c:v>922</c:v>
                </c:pt>
                <c:pt idx="7">
                  <c:v>1167</c:v>
                </c:pt>
                <c:pt idx="8">
                  <c:v>1306</c:v>
                </c:pt>
                <c:pt idx="9">
                  <c:v>1355</c:v>
                </c:pt>
                <c:pt idx="10">
                  <c:v>998</c:v>
                </c:pt>
                <c:pt idx="11">
                  <c:v>1147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F-4558-81A4-7A8AD5E6C5B8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1164</c:v>
                </c:pt>
                <c:pt idx="1">
                  <c:v>1067</c:v>
                </c:pt>
                <c:pt idx="2">
                  <c:v>1246</c:v>
                </c:pt>
                <c:pt idx="3">
                  <c:v>1477</c:v>
                </c:pt>
                <c:pt idx="4">
                  <c:v>1496</c:v>
                </c:pt>
                <c:pt idx="5">
                  <c:v>1635</c:v>
                </c:pt>
                <c:pt idx="6">
                  <c:v>1059</c:v>
                </c:pt>
                <c:pt idx="7">
                  <c:v>1334</c:v>
                </c:pt>
                <c:pt idx="8">
                  <c:v>1408</c:v>
                </c:pt>
                <c:pt idx="9">
                  <c:v>1461</c:v>
                </c:pt>
                <c:pt idx="10">
                  <c:v>1094</c:v>
                </c:pt>
                <c:pt idx="11">
                  <c:v>1227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5F-4558-81A4-7A8AD5E6C5B8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1167</c:v>
                </c:pt>
                <c:pt idx="1">
                  <c:v>1135</c:v>
                </c:pt>
                <c:pt idx="2">
                  <c:v>1271</c:v>
                </c:pt>
                <c:pt idx="3">
                  <c:v>1603</c:v>
                </c:pt>
                <c:pt idx="4">
                  <c:v>1362</c:v>
                </c:pt>
                <c:pt idx="5">
                  <c:v>1746</c:v>
                </c:pt>
                <c:pt idx="6">
                  <c:v>988</c:v>
                </c:pt>
                <c:pt idx="7">
                  <c:v>1410</c:v>
                </c:pt>
                <c:pt idx="8">
                  <c:v>1570</c:v>
                </c:pt>
                <c:pt idx="9">
                  <c:v>1595</c:v>
                </c:pt>
                <c:pt idx="10">
                  <c:v>1163</c:v>
                </c:pt>
                <c:pt idx="11">
                  <c:v>1467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5F-4558-81A4-7A8AD5E6C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053920"/>
        <c:axId val="432051520"/>
      </c:lineChart>
      <c:catAx>
        <c:axId val="432053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51520"/>
        <c:crosses val="autoZero"/>
        <c:auto val="1"/>
        <c:lblAlgn val="ctr"/>
        <c:lblOffset val="100"/>
        <c:noMultiLvlLbl val="0"/>
      </c:catAx>
      <c:valAx>
        <c:axId val="43205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5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Sheet4!$A$1:$A$36</c15:sqref>
                  </c15:fullRef>
                </c:ext>
              </c:extLst>
              <c:f>(Sheet4!$A$1,Sheet4!$A$3,Sheet4!$A$5,Sheet4!$A$7,Sheet4!$A$9,Sheet4!$A$11,Sheet4!$A$13,Sheet4!$A$15,Sheet4!$A$17,Sheet4!$A$19,Sheet4!$A$21,Sheet4!$A$23,Sheet4!$A$25,Sheet4!$A$27,Sheet4!$A$29,Sheet4!$A$31,Sheet4!$A$33,Sheet4!$A$35)</c:f>
              <c:numCache>
                <c:formatCode>mmm\-yy</c:formatCode>
                <c:ptCount val="18"/>
                <c:pt idx="0">
                  <c:v>44562</c:v>
                </c:pt>
                <c:pt idx="1">
                  <c:v>44621</c:v>
                </c:pt>
                <c:pt idx="2">
                  <c:v>44682</c:v>
                </c:pt>
                <c:pt idx="3">
                  <c:v>44743</c:v>
                </c:pt>
                <c:pt idx="4">
                  <c:v>44805</c:v>
                </c:pt>
                <c:pt idx="5">
                  <c:v>44866</c:v>
                </c:pt>
                <c:pt idx="6">
                  <c:v>44927</c:v>
                </c:pt>
                <c:pt idx="7">
                  <c:v>44986</c:v>
                </c:pt>
                <c:pt idx="8">
                  <c:v>45047</c:v>
                </c:pt>
                <c:pt idx="9">
                  <c:v>45108</c:v>
                </c:pt>
                <c:pt idx="10">
                  <c:v>45170</c:v>
                </c:pt>
                <c:pt idx="11">
                  <c:v>45231</c:v>
                </c:pt>
                <c:pt idx="12">
                  <c:v>45292</c:v>
                </c:pt>
                <c:pt idx="13">
                  <c:v>45352</c:v>
                </c:pt>
                <c:pt idx="14">
                  <c:v>45413</c:v>
                </c:pt>
                <c:pt idx="15">
                  <c:v>45474</c:v>
                </c:pt>
                <c:pt idx="16">
                  <c:v>45536</c:v>
                </c:pt>
                <c:pt idx="17">
                  <c:v>45597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Sheet4!$B$1:$B$36</c15:sqref>
                  </c15:fullRef>
                </c:ext>
              </c:extLst>
              <c:f>(Sheet4!$B$1,Sheet4!$B$3,Sheet4!$B$5,Sheet4!$B$7,Sheet4!$B$9,Sheet4!$B$11,Sheet4!$B$13,Sheet4!$B$15,Sheet4!$B$17,Sheet4!$B$19,Sheet4!$B$21,Sheet4!$B$23,Sheet4!$B$25,Sheet4!$B$27,Sheet4!$B$29,Sheet4!$B$31,Sheet4!$B$33,Sheet4!$B$35)</c:f>
              <c:numCache>
                <c:formatCode>General</c:formatCode>
                <c:ptCount val="18"/>
                <c:pt idx="0">
                  <c:v>647</c:v>
                </c:pt>
                <c:pt idx="1">
                  <c:v>1065</c:v>
                </c:pt>
                <c:pt idx="2">
                  <c:v>512</c:v>
                </c:pt>
                <c:pt idx="3">
                  <c:v>866</c:v>
                </c:pt>
                <c:pt idx="4">
                  <c:v>556</c:v>
                </c:pt>
                <c:pt idx="5">
                  <c:v>785</c:v>
                </c:pt>
                <c:pt idx="6">
                  <c:v>1228</c:v>
                </c:pt>
                <c:pt idx="7">
                  <c:v>1441</c:v>
                </c:pt>
                <c:pt idx="8">
                  <c:v>1123</c:v>
                </c:pt>
                <c:pt idx="9">
                  <c:v>1152</c:v>
                </c:pt>
                <c:pt idx="10">
                  <c:v>761</c:v>
                </c:pt>
                <c:pt idx="11">
                  <c:v>985</c:v>
                </c:pt>
                <c:pt idx="12">
                  <c:v>1478</c:v>
                </c:pt>
                <c:pt idx="13">
                  <c:v>646</c:v>
                </c:pt>
                <c:pt idx="14">
                  <c:v>1652</c:v>
                </c:pt>
                <c:pt idx="15">
                  <c:v>1659</c:v>
                </c:pt>
                <c:pt idx="16">
                  <c:v>973</c:v>
                </c:pt>
                <c:pt idx="17">
                  <c:v>1145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6-4202-A0E3-5AD1C3B5B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809392"/>
        <c:axId val="423808432"/>
      </c:lineChart>
      <c:dateAx>
        <c:axId val="42380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08432"/>
        <c:crosses val="autoZero"/>
        <c:auto val="1"/>
        <c:lblOffset val="100"/>
        <c:baseTimeUnit val="months"/>
      </c:dateAx>
      <c:valAx>
        <c:axId val="42380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0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Sheet3!$D$23</c:f>
              <c:strCache>
                <c:ptCount val="1"/>
                <c:pt idx="0">
                  <c:v>Quantity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Sheet3!$D$24:$D$71</c:f>
              <c:numCache>
                <c:formatCode>General</c:formatCode>
                <c:ptCount val="48"/>
                <c:pt idx="0">
                  <c:v>512</c:v>
                </c:pt>
                <c:pt idx="1">
                  <c:v>645</c:v>
                </c:pt>
                <c:pt idx="2">
                  <c:v>741</c:v>
                </c:pt>
                <c:pt idx="3">
                  <c:v>589</c:v>
                </c:pt>
                <c:pt idx="4">
                  <c:v>789</c:v>
                </c:pt>
                <c:pt idx="5">
                  <c:v>790</c:v>
                </c:pt>
                <c:pt idx="6">
                  <c:v>922</c:v>
                </c:pt>
                <c:pt idx="7">
                  <c:v>1167</c:v>
                </c:pt>
                <c:pt idx="8">
                  <c:v>1306</c:v>
                </c:pt>
                <c:pt idx="9">
                  <c:v>1355</c:v>
                </c:pt>
                <c:pt idx="10">
                  <c:v>998</c:v>
                </c:pt>
                <c:pt idx="11">
                  <c:v>1147</c:v>
                </c:pt>
                <c:pt idx="12">
                  <c:v>1164</c:v>
                </c:pt>
                <c:pt idx="13">
                  <c:v>1067</c:v>
                </c:pt>
                <c:pt idx="14">
                  <c:v>1246</c:v>
                </c:pt>
                <c:pt idx="15">
                  <c:v>1477</c:v>
                </c:pt>
                <c:pt idx="16">
                  <c:v>1496</c:v>
                </c:pt>
                <c:pt idx="17">
                  <c:v>1635</c:v>
                </c:pt>
                <c:pt idx="18">
                  <c:v>1059</c:v>
                </c:pt>
                <c:pt idx="19">
                  <c:v>1334</c:v>
                </c:pt>
                <c:pt idx="20">
                  <c:v>1408</c:v>
                </c:pt>
                <c:pt idx="21">
                  <c:v>1461</c:v>
                </c:pt>
                <c:pt idx="22">
                  <c:v>1094</c:v>
                </c:pt>
                <c:pt idx="23">
                  <c:v>1227</c:v>
                </c:pt>
                <c:pt idx="24">
                  <c:v>1167</c:v>
                </c:pt>
                <c:pt idx="25">
                  <c:v>1135</c:v>
                </c:pt>
                <c:pt idx="26">
                  <c:v>1271</c:v>
                </c:pt>
                <c:pt idx="27">
                  <c:v>1603</c:v>
                </c:pt>
                <c:pt idx="28">
                  <c:v>1362</c:v>
                </c:pt>
                <c:pt idx="29">
                  <c:v>1746</c:v>
                </c:pt>
                <c:pt idx="30">
                  <c:v>988</c:v>
                </c:pt>
                <c:pt idx="31">
                  <c:v>1410</c:v>
                </c:pt>
                <c:pt idx="32">
                  <c:v>1570</c:v>
                </c:pt>
                <c:pt idx="33">
                  <c:v>1595</c:v>
                </c:pt>
                <c:pt idx="34">
                  <c:v>1163</c:v>
                </c:pt>
                <c:pt idx="35">
                  <c:v>1167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A-4D20-92AB-E13CC7C8D700}"/>
            </c:ext>
          </c:extLst>
        </c:ser>
        <c:ser>
          <c:idx val="1"/>
          <c:order val="1"/>
          <c:tx>
            <c:strRef>
              <c:f>Sheet3!$H$23</c:f>
              <c:strCache>
                <c:ptCount val="1"/>
                <c:pt idx="0">
                  <c:v>Deseasonalize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Sheet3!$H$24:$H$71</c:f>
              <c:numCache>
                <c:formatCode>0.00</c:formatCode>
                <c:ptCount val="48"/>
                <c:pt idx="0">
                  <c:v>583.23388711459984</c:v>
                </c:pt>
                <c:pt idx="1">
                  <c:v>782.3172666898023</c:v>
                </c:pt>
                <c:pt idx="2">
                  <c:v>792.37624795947374</c:v>
                </c:pt>
                <c:pt idx="3">
                  <c:v>519.17153928219193</c:v>
                </c:pt>
                <c:pt idx="4">
                  <c:v>752.91304677211565</c:v>
                </c:pt>
                <c:pt idx="5">
                  <c:v>640.18486331621909</c:v>
                </c:pt>
                <c:pt idx="6">
                  <c:v>1062.8942994179449</c:v>
                </c:pt>
                <c:pt idx="7">
                  <c:v>1093.552491809766</c:v>
                </c:pt>
                <c:pt idx="8">
                  <c:v>1148.5246538141216</c:v>
                </c:pt>
                <c:pt idx="9">
                  <c:v>1185.5898776809308</c:v>
                </c:pt>
                <c:pt idx="10">
                  <c:v>1213.2096127667785</c:v>
                </c:pt>
                <c:pt idx="11">
                  <c:v>1262.059173505038</c:v>
                </c:pt>
                <c:pt idx="12">
                  <c:v>1325.945790237098</c:v>
                </c:pt>
                <c:pt idx="13">
                  <c:v>1294.1589512527428</c:v>
                </c:pt>
                <c:pt idx="14">
                  <c:v>1332.3897502800328</c:v>
                </c:pt>
                <c:pt idx="15">
                  <c:v>1301.8953540234254</c:v>
                </c:pt>
                <c:pt idx="16">
                  <c:v>1427.5765753752662</c:v>
                </c:pt>
                <c:pt idx="17">
                  <c:v>1324.9395588886309</c:v>
                </c:pt>
                <c:pt idx="18">
                  <c:v>1220.8297864247329</c:v>
                </c:pt>
                <c:pt idx="19">
                  <c:v>1250.042008632586</c:v>
                </c:pt>
                <c:pt idx="20">
                  <c:v>1238.2256604672918</c:v>
                </c:pt>
                <c:pt idx="21">
                  <c:v>1278.3371301046789</c:v>
                </c:pt>
                <c:pt idx="22">
                  <c:v>1329.9111386441439</c:v>
                </c:pt>
                <c:pt idx="23">
                  <c:v>1350.0842248393037</c:v>
                </c:pt>
                <c:pt idx="24">
                  <c:v>1329.3631762944101</c:v>
                </c:pt>
                <c:pt idx="25">
                  <c:v>1376.6358103766288</c:v>
                </c:pt>
                <c:pt idx="26">
                  <c:v>1359.1230919790703</c:v>
                </c:pt>
                <c:pt idx="27">
                  <c:v>1412.9575169258976</c:v>
                </c:pt>
                <c:pt idx="28">
                  <c:v>1299.7054115381768</c:v>
                </c:pt>
                <c:pt idx="29">
                  <c:v>1414.889583987492</c:v>
                </c:pt>
                <c:pt idx="30">
                  <c:v>1138.9800084869084</c:v>
                </c:pt>
                <c:pt idx="31">
                  <c:v>1321.258794731594</c:v>
                </c:pt>
                <c:pt idx="32">
                  <c:v>1380.6919651517387</c:v>
                </c:pt>
                <c:pt idx="33">
                  <c:v>1395.583656753568</c:v>
                </c:pt>
                <c:pt idx="34">
                  <c:v>1413.7903603685002</c:v>
                </c:pt>
                <c:pt idx="35">
                  <c:v>1284.0654363386043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A-4D20-92AB-E13CC7C8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956575"/>
        <c:axId val="795957535"/>
      </c:lineChart>
      <c:catAx>
        <c:axId val="79595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7535"/>
        <c:crosses val="autoZero"/>
        <c:auto val="1"/>
        <c:lblAlgn val="ctr"/>
        <c:lblOffset val="100"/>
        <c:noMultiLvlLbl val="0"/>
      </c:catAx>
      <c:valAx>
        <c:axId val="79595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AAE914763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Sheet2!$C$2:$C$37</c:f>
              <c:numCache>
                <c:formatCode>General</c:formatCode>
                <c:ptCount val="36"/>
                <c:pt idx="0">
                  <c:v>512</c:v>
                </c:pt>
                <c:pt idx="1">
                  <c:v>645</c:v>
                </c:pt>
                <c:pt idx="2">
                  <c:v>741</c:v>
                </c:pt>
                <c:pt idx="3">
                  <c:v>589</c:v>
                </c:pt>
                <c:pt idx="4">
                  <c:v>789</c:v>
                </c:pt>
                <c:pt idx="5">
                  <c:v>790</c:v>
                </c:pt>
                <c:pt idx="6">
                  <c:v>922</c:v>
                </c:pt>
                <c:pt idx="7">
                  <c:v>1167</c:v>
                </c:pt>
                <c:pt idx="8">
                  <c:v>1306</c:v>
                </c:pt>
                <c:pt idx="9">
                  <c:v>1355</c:v>
                </c:pt>
                <c:pt idx="10">
                  <c:v>998</c:v>
                </c:pt>
                <c:pt idx="11">
                  <c:v>1147</c:v>
                </c:pt>
                <c:pt idx="12">
                  <c:v>1164</c:v>
                </c:pt>
                <c:pt idx="13">
                  <c:v>1067</c:v>
                </c:pt>
                <c:pt idx="14">
                  <c:v>1246</c:v>
                </c:pt>
                <c:pt idx="15">
                  <c:v>1477</c:v>
                </c:pt>
                <c:pt idx="16">
                  <c:v>1496</c:v>
                </c:pt>
                <c:pt idx="17">
                  <c:v>1635</c:v>
                </c:pt>
                <c:pt idx="18">
                  <c:v>1059</c:v>
                </c:pt>
                <c:pt idx="19">
                  <c:v>1334</c:v>
                </c:pt>
                <c:pt idx="20">
                  <c:v>1408</c:v>
                </c:pt>
                <c:pt idx="21">
                  <c:v>1461</c:v>
                </c:pt>
                <c:pt idx="22">
                  <c:v>1094</c:v>
                </c:pt>
                <c:pt idx="23">
                  <c:v>1227</c:v>
                </c:pt>
                <c:pt idx="24">
                  <c:v>1167</c:v>
                </c:pt>
                <c:pt idx="25">
                  <c:v>1135</c:v>
                </c:pt>
                <c:pt idx="26">
                  <c:v>1271</c:v>
                </c:pt>
                <c:pt idx="27">
                  <c:v>1603</c:v>
                </c:pt>
                <c:pt idx="28">
                  <c:v>1362</c:v>
                </c:pt>
                <c:pt idx="29">
                  <c:v>1746</c:v>
                </c:pt>
                <c:pt idx="30">
                  <c:v>988</c:v>
                </c:pt>
                <c:pt idx="31">
                  <c:v>1410</c:v>
                </c:pt>
                <c:pt idx="32">
                  <c:v>1570</c:v>
                </c:pt>
                <c:pt idx="33">
                  <c:v>1595</c:v>
                </c:pt>
                <c:pt idx="34">
                  <c:v>1163</c:v>
                </c:pt>
                <c:pt idx="35">
                  <c:v>1167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6-4751-9023-4A6EDFA4B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950288"/>
        <c:axId val="436951728"/>
      </c:lineChart>
      <c:dateAx>
        <c:axId val="43695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51728"/>
        <c:crosses val="autoZero"/>
        <c:auto val="1"/>
        <c:lblOffset val="100"/>
        <c:baseTimeUnit val="months"/>
      </c:dateAx>
      <c:valAx>
        <c:axId val="43695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5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Actual</a:t>
            </a:r>
            <a:r>
              <a:rPr lang="en-IN" b="1" baseline="0"/>
              <a:t> vs Forecast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Sheet2!$C$2:$C$37</c:f>
              <c:numCache>
                <c:formatCode>General</c:formatCode>
                <c:ptCount val="36"/>
                <c:pt idx="0">
                  <c:v>512</c:v>
                </c:pt>
                <c:pt idx="1">
                  <c:v>645</c:v>
                </c:pt>
                <c:pt idx="2">
                  <c:v>741</c:v>
                </c:pt>
                <c:pt idx="3">
                  <c:v>589</c:v>
                </c:pt>
                <c:pt idx="4">
                  <c:v>789</c:v>
                </c:pt>
                <c:pt idx="5">
                  <c:v>790</c:v>
                </c:pt>
                <c:pt idx="6">
                  <c:v>922</c:v>
                </c:pt>
                <c:pt idx="7">
                  <c:v>1167</c:v>
                </c:pt>
                <c:pt idx="8">
                  <c:v>1306</c:v>
                </c:pt>
                <c:pt idx="9">
                  <c:v>1355</c:v>
                </c:pt>
                <c:pt idx="10">
                  <c:v>998</c:v>
                </c:pt>
                <c:pt idx="11">
                  <c:v>1147</c:v>
                </c:pt>
                <c:pt idx="12">
                  <c:v>1164</c:v>
                </c:pt>
                <c:pt idx="13">
                  <c:v>1067</c:v>
                </c:pt>
                <c:pt idx="14">
                  <c:v>1246</c:v>
                </c:pt>
                <c:pt idx="15">
                  <c:v>1477</c:v>
                </c:pt>
                <c:pt idx="16">
                  <c:v>1496</c:v>
                </c:pt>
                <c:pt idx="17">
                  <c:v>1635</c:v>
                </c:pt>
                <c:pt idx="18">
                  <c:v>1059</c:v>
                </c:pt>
                <c:pt idx="19">
                  <c:v>1334</c:v>
                </c:pt>
                <c:pt idx="20">
                  <c:v>1408</c:v>
                </c:pt>
                <c:pt idx="21">
                  <c:v>1461</c:v>
                </c:pt>
                <c:pt idx="22">
                  <c:v>1094</c:v>
                </c:pt>
                <c:pt idx="23">
                  <c:v>1227</c:v>
                </c:pt>
                <c:pt idx="24">
                  <c:v>1167</c:v>
                </c:pt>
                <c:pt idx="25">
                  <c:v>1135</c:v>
                </c:pt>
                <c:pt idx="26">
                  <c:v>1271</c:v>
                </c:pt>
                <c:pt idx="27">
                  <c:v>1603</c:v>
                </c:pt>
                <c:pt idx="28">
                  <c:v>1362</c:v>
                </c:pt>
                <c:pt idx="29">
                  <c:v>1746</c:v>
                </c:pt>
                <c:pt idx="30">
                  <c:v>988</c:v>
                </c:pt>
                <c:pt idx="31">
                  <c:v>1410</c:v>
                </c:pt>
                <c:pt idx="32">
                  <c:v>1570</c:v>
                </c:pt>
                <c:pt idx="33">
                  <c:v>1595</c:v>
                </c:pt>
                <c:pt idx="34">
                  <c:v>1163</c:v>
                </c:pt>
                <c:pt idx="35">
                  <c:v>1167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B-4956-9AB4-D8C4C92DC592}"/>
            </c:ext>
          </c:extLst>
        </c:ser>
        <c:ser>
          <c:idx val="1"/>
          <c:order val="1"/>
          <c:tx>
            <c:strRef>
              <c:f>Sheet2!$J$1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Sheet2!$J$2:$J$37</c:f>
              <c:numCache>
                <c:formatCode>0.00</c:formatCode>
                <c:ptCount val="36"/>
                <c:pt idx="0">
                  <c:v>768.09408008896526</c:v>
                </c:pt>
                <c:pt idx="1">
                  <c:v>736.21872419744682</c:v>
                </c:pt>
                <c:pt idx="2">
                  <c:v>851.88938428972688</c:v>
                </c:pt>
                <c:pt idx="3">
                  <c:v>1053.8958448232638</c:v>
                </c:pt>
                <c:pt idx="4">
                  <c:v>992.33710081549191</c:v>
                </c:pt>
                <c:pt idx="5">
                  <c:v>1190.7637366668851</c:v>
                </c:pt>
                <c:pt idx="6">
                  <c:v>852.64942383855941</c:v>
                </c:pt>
                <c:pt idx="7">
                  <c:v>1068.1715388594282</c:v>
                </c:pt>
                <c:pt idx="8">
                  <c:v>1158.6501409271168</c:v>
                </c:pt>
                <c:pt idx="9">
                  <c:v>1185.1093927592826</c:v>
                </c:pt>
                <c:pt idx="10">
                  <c:v>867.8039746148886</c:v>
                </c:pt>
                <c:pt idx="11">
                  <c:v>975.11877242821504</c:v>
                </c:pt>
                <c:pt idx="12">
                  <c:v>957.69162310393779</c:v>
                </c:pt>
                <c:pt idx="13">
                  <c:v>914.28525286993215</c:v>
                </c:pt>
                <c:pt idx="14">
                  <c:v>1053.8618896647051</c:v>
                </c:pt>
                <c:pt idx="15">
                  <c:v>1298.9205705158179</c:v>
                </c:pt>
                <c:pt idx="16">
                  <c:v>1218.6647819873874</c:v>
                </c:pt>
                <c:pt idx="17">
                  <c:v>1457.2821281142656</c:v>
                </c:pt>
                <c:pt idx="18">
                  <c:v>1039.9962485501476</c:v>
                </c:pt>
                <c:pt idx="19">
                  <c:v>1298.6533802778331</c:v>
                </c:pt>
                <c:pt idx="20">
                  <c:v>1404.2388229491312</c:v>
                </c:pt>
                <c:pt idx="21">
                  <c:v>1431.9464192126732</c:v>
                </c:pt>
                <c:pt idx="22">
                  <c:v>1045.4682840069333</c:v>
                </c:pt>
                <c:pt idx="23">
                  <c:v>1171.4047130565059</c:v>
                </c:pt>
                <c:pt idx="24">
                  <c:v>1147.2891661189105</c:v>
                </c:pt>
                <c:pt idx="25">
                  <c:v>1092.3517815424175</c:v>
                </c:pt>
                <c:pt idx="26">
                  <c:v>1255.8343950396834</c:v>
                </c:pt>
                <c:pt idx="27">
                  <c:v>1543.9452962083715</c:v>
                </c:pt>
                <c:pt idx="28">
                  <c:v>1444.9924631592833</c:v>
                </c:pt>
                <c:pt idx="29">
                  <c:v>1723.8005195616463</c:v>
                </c:pt>
                <c:pt idx="30">
                  <c:v>1227.3430732617358</c:v>
                </c:pt>
                <c:pt idx="31">
                  <c:v>1529.1352216962382</c:v>
                </c:pt>
                <c:pt idx="32">
                  <c:v>1649.8275049711453</c:v>
                </c:pt>
                <c:pt idx="33">
                  <c:v>1678.7834456660637</c:v>
                </c:pt>
                <c:pt idx="34">
                  <c:v>1223.1325933989785</c:v>
                </c:pt>
                <c:pt idx="35">
                  <c:v>1367.6906536847971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B-4956-9AB4-D8C4C92DC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482656"/>
        <c:axId val="480486976"/>
      </c:lineChart>
      <c:dateAx>
        <c:axId val="4804826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486976"/>
        <c:crosses val="autoZero"/>
        <c:auto val="1"/>
        <c:lblOffset val="100"/>
        <c:baseTimeUnit val="months"/>
      </c:dateAx>
      <c:valAx>
        <c:axId val="48048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48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5</xdr:row>
      <xdr:rowOff>41910</xdr:rowOff>
    </xdr:from>
    <xdr:to>
      <xdr:col>13</xdr:col>
      <xdr:colOff>91440</xdr:colOff>
      <xdr:row>20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C85386-24B9-D5DB-11D6-2DDBEFD6B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12</xdr:row>
      <xdr:rowOff>76200</xdr:rowOff>
    </xdr:from>
    <xdr:to>
      <xdr:col>18</xdr:col>
      <xdr:colOff>53340</xdr:colOff>
      <xdr:row>31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0B20E-D217-B0EE-7C77-7D4E60C80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71</xdr:row>
      <xdr:rowOff>60960</xdr:rowOff>
    </xdr:from>
    <xdr:to>
      <xdr:col>7</xdr:col>
      <xdr:colOff>525780</xdr:colOff>
      <xdr:row>87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AF3C54-CA54-74D3-72C5-EEE59B998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335280</xdr:colOff>
      <xdr:row>14</xdr:row>
      <xdr:rowOff>125730</xdr:rowOff>
    </xdr:from>
    <xdr:to>
      <xdr:col>19</xdr:col>
      <xdr:colOff>30480</xdr:colOff>
      <xdr:row>29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044C39-B515-435B-53DB-1DEC027C0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25490D-1BF6-0DA1-C65F-38DD9F06E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BF33-2228-4F14-9B2C-0ADA393EC84E}">
  <dimension ref="A1:D14"/>
  <sheetViews>
    <sheetView workbookViewId="0">
      <selection activeCell="A2" sqref="A2:D14"/>
    </sheetView>
  </sheetViews>
  <sheetFormatPr defaultRowHeight="14.4" x14ac:dyDescent="0.3"/>
  <sheetData>
    <row r="1" spans="1:4" x14ac:dyDescent="0.3">
      <c r="B1" t="s">
        <v>1</v>
      </c>
    </row>
    <row r="2" spans="1:4" x14ac:dyDescent="0.3">
      <c r="A2" t="s">
        <v>0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>
        <v>512</v>
      </c>
      <c r="C3">
        <v>1164</v>
      </c>
      <c r="D3">
        <v>1167</v>
      </c>
    </row>
    <row r="4" spans="1:4" x14ac:dyDescent="0.3">
      <c r="A4" t="s">
        <v>7</v>
      </c>
      <c r="B4">
        <v>645</v>
      </c>
      <c r="C4">
        <v>1067</v>
      </c>
      <c r="D4">
        <v>1135</v>
      </c>
    </row>
    <row r="5" spans="1:4" x14ac:dyDescent="0.3">
      <c r="A5" t="s">
        <v>8</v>
      </c>
      <c r="B5">
        <v>741</v>
      </c>
      <c r="C5">
        <v>1246</v>
      </c>
      <c r="D5">
        <v>1271</v>
      </c>
    </row>
    <row r="6" spans="1:4" x14ac:dyDescent="0.3">
      <c r="A6" t="s">
        <v>9</v>
      </c>
      <c r="B6">
        <v>589</v>
      </c>
      <c r="C6">
        <v>1477</v>
      </c>
      <c r="D6">
        <v>1603</v>
      </c>
    </row>
    <row r="7" spans="1:4" x14ac:dyDescent="0.3">
      <c r="A7" t="s">
        <v>10</v>
      </c>
      <c r="B7">
        <v>789</v>
      </c>
      <c r="C7">
        <v>1496</v>
      </c>
      <c r="D7">
        <v>1362</v>
      </c>
    </row>
    <row r="8" spans="1:4" x14ac:dyDescent="0.3">
      <c r="A8" t="s">
        <v>11</v>
      </c>
      <c r="B8">
        <v>790</v>
      </c>
      <c r="C8">
        <v>1635</v>
      </c>
      <c r="D8">
        <v>1746</v>
      </c>
    </row>
    <row r="9" spans="1:4" x14ac:dyDescent="0.3">
      <c r="A9" t="s">
        <v>12</v>
      </c>
      <c r="B9">
        <v>922</v>
      </c>
      <c r="C9">
        <v>1059</v>
      </c>
      <c r="D9">
        <v>988</v>
      </c>
    </row>
    <row r="10" spans="1:4" x14ac:dyDescent="0.3">
      <c r="A10" t="s">
        <v>13</v>
      </c>
      <c r="B10">
        <v>1167</v>
      </c>
      <c r="C10">
        <v>1334</v>
      </c>
      <c r="D10">
        <v>1410</v>
      </c>
    </row>
    <row r="11" spans="1:4" x14ac:dyDescent="0.3">
      <c r="A11" t="s">
        <v>14</v>
      </c>
      <c r="B11">
        <v>1306</v>
      </c>
      <c r="C11">
        <v>1408</v>
      </c>
      <c r="D11">
        <v>1570</v>
      </c>
    </row>
    <row r="12" spans="1:4" x14ac:dyDescent="0.3">
      <c r="A12" t="s">
        <v>15</v>
      </c>
      <c r="B12">
        <v>1355</v>
      </c>
      <c r="C12">
        <v>1461</v>
      </c>
      <c r="D12">
        <v>1595</v>
      </c>
    </row>
    <row r="13" spans="1:4" x14ac:dyDescent="0.3">
      <c r="A13" t="s">
        <v>16</v>
      </c>
      <c r="B13">
        <v>998</v>
      </c>
      <c r="C13">
        <v>1094</v>
      </c>
      <c r="D13">
        <v>1163</v>
      </c>
    </row>
    <row r="14" spans="1:4" x14ac:dyDescent="0.3">
      <c r="A14" t="s">
        <v>6</v>
      </c>
      <c r="B14">
        <v>1147</v>
      </c>
      <c r="C14">
        <v>1227</v>
      </c>
      <c r="D14">
        <v>1467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5AC4-CBF4-4777-A076-C19A7895DFD5}">
  <dimension ref="A1:B36"/>
  <sheetViews>
    <sheetView workbookViewId="0">
      <selection activeCell="B26" sqref="B26"/>
    </sheetView>
  </sheetViews>
  <sheetFormatPr defaultRowHeight="14.4" x14ac:dyDescent="0.3"/>
  <sheetData>
    <row r="1" spans="1:2" x14ac:dyDescent="0.3">
      <c r="A1" s="1">
        <v>44562</v>
      </c>
      <c r="B1">
        <v>647</v>
      </c>
    </row>
    <row r="2" spans="1:2" x14ac:dyDescent="0.3">
      <c r="A2" s="1">
        <v>44593</v>
      </c>
      <c r="B2">
        <v>785</v>
      </c>
    </row>
    <row r="3" spans="1:2" x14ac:dyDescent="0.3">
      <c r="A3" s="1">
        <v>44621</v>
      </c>
      <c r="B3">
        <v>1065</v>
      </c>
    </row>
    <row r="4" spans="1:2" x14ac:dyDescent="0.3">
      <c r="A4" s="1">
        <v>44652</v>
      </c>
      <c r="B4">
        <v>608</v>
      </c>
    </row>
    <row r="5" spans="1:2" x14ac:dyDescent="0.3">
      <c r="A5" s="1">
        <v>44682</v>
      </c>
      <c r="B5">
        <v>512</v>
      </c>
    </row>
    <row r="6" spans="1:2" x14ac:dyDescent="0.3">
      <c r="A6" s="1">
        <v>44713</v>
      </c>
      <c r="B6">
        <v>702</v>
      </c>
    </row>
    <row r="7" spans="1:2" x14ac:dyDescent="0.3">
      <c r="A7" s="1">
        <v>44743</v>
      </c>
      <c r="B7">
        <v>866</v>
      </c>
    </row>
    <row r="8" spans="1:2" x14ac:dyDescent="0.3">
      <c r="A8" s="1">
        <v>44774</v>
      </c>
      <c r="B8">
        <v>693</v>
      </c>
    </row>
    <row r="9" spans="1:2" x14ac:dyDescent="0.3">
      <c r="A9" s="1">
        <v>44805</v>
      </c>
      <c r="B9">
        <v>556</v>
      </c>
    </row>
    <row r="10" spans="1:2" x14ac:dyDescent="0.3">
      <c r="A10" s="1">
        <v>44835</v>
      </c>
      <c r="B10">
        <v>971</v>
      </c>
    </row>
    <row r="11" spans="1:2" x14ac:dyDescent="0.3">
      <c r="A11" s="1">
        <v>44866</v>
      </c>
      <c r="B11">
        <v>785</v>
      </c>
    </row>
    <row r="12" spans="1:2" x14ac:dyDescent="0.3">
      <c r="A12" s="1">
        <v>44896</v>
      </c>
      <c r="B12">
        <v>456</v>
      </c>
    </row>
    <row r="13" spans="1:2" x14ac:dyDescent="0.3">
      <c r="A13" s="1">
        <v>44927</v>
      </c>
      <c r="B13">
        <v>1228</v>
      </c>
    </row>
    <row r="14" spans="1:2" x14ac:dyDescent="0.3">
      <c r="A14" s="1">
        <v>44958</v>
      </c>
      <c r="B14">
        <v>665</v>
      </c>
    </row>
    <row r="15" spans="1:2" x14ac:dyDescent="0.3">
      <c r="A15" s="1">
        <v>44986</v>
      </c>
      <c r="B15">
        <v>1441</v>
      </c>
    </row>
    <row r="16" spans="1:2" x14ac:dyDescent="0.3">
      <c r="A16" s="1">
        <v>45017</v>
      </c>
      <c r="B16">
        <v>1459</v>
      </c>
    </row>
    <row r="17" spans="1:2" x14ac:dyDescent="0.3">
      <c r="A17" s="1">
        <v>45047</v>
      </c>
      <c r="B17">
        <v>1123</v>
      </c>
    </row>
    <row r="18" spans="1:2" x14ac:dyDescent="0.3">
      <c r="A18" s="1">
        <v>45078</v>
      </c>
      <c r="B18">
        <v>851</v>
      </c>
    </row>
    <row r="19" spans="1:2" x14ac:dyDescent="0.3">
      <c r="A19" s="1">
        <v>45108</v>
      </c>
      <c r="B19">
        <v>1152</v>
      </c>
    </row>
    <row r="20" spans="1:2" x14ac:dyDescent="0.3">
      <c r="A20" s="1">
        <v>45139</v>
      </c>
      <c r="B20">
        <v>1236</v>
      </c>
    </row>
    <row r="21" spans="1:2" x14ac:dyDescent="0.3">
      <c r="A21" s="1">
        <v>45170</v>
      </c>
      <c r="B21">
        <v>761</v>
      </c>
    </row>
    <row r="22" spans="1:2" x14ac:dyDescent="0.3">
      <c r="A22" s="1">
        <v>45200</v>
      </c>
      <c r="B22">
        <v>695</v>
      </c>
    </row>
    <row r="23" spans="1:2" x14ac:dyDescent="0.3">
      <c r="A23" s="1">
        <v>45231</v>
      </c>
      <c r="B23">
        <v>985</v>
      </c>
    </row>
    <row r="24" spans="1:2" x14ac:dyDescent="0.3">
      <c r="A24" s="1">
        <v>45261</v>
      </c>
      <c r="B24">
        <v>745</v>
      </c>
    </row>
    <row r="25" spans="1:2" x14ac:dyDescent="0.3">
      <c r="A25" s="1">
        <v>45292</v>
      </c>
      <c r="B25">
        <v>1478</v>
      </c>
    </row>
    <row r="26" spans="1:2" x14ac:dyDescent="0.3">
      <c r="A26" s="1">
        <v>45323</v>
      </c>
      <c r="B26">
        <v>1002</v>
      </c>
    </row>
    <row r="27" spans="1:2" x14ac:dyDescent="0.3">
      <c r="A27" s="1">
        <v>45352</v>
      </c>
      <c r="B27">
        <v>646</v>
      </c>
    </row>
    <row r="28" spans="1:2" x14ac:dyDescent="0.3">
      <c r="A28" s="1">
        <v>45383</v>
      </c>
      <c r="B28">
        <v>2041</v>
      </c>
    </row>
    <row r="29" spans="1:2" x14ac:dyDescent="0.3">
      <c r="A29" s="1">
        <v>45413</v>
      </c>
      <c r="B29">
        <v>1652</v>
      </c>
    </row>
    <row r="30" spans="1:2" x14ac:dyDescent="0.3">
      <c r="A30" s="1">
        <v>45444</v>
      </c>
      <c r="B30">
        <v>896</v>
      </c>
    </row>
    <row r="31" spans="1:2" x14ac:dyDescent="0.3">
      <c r="A31" s="1">
        <v>45474</v>
      </c>
      <c r="B31">
        <v>1659</v>
      </c>
    </row>
    <row r="32" spans="1:2" x14ac:dyDescent="0.3">
      <c r="A32" s="1">
        <v>45505</v>
      </c>
      <c r="B32">
        <v>1498</v>
      </c>
    </row>
    <row r="33" spans="1:2" x14ac:dyDescent="0.3">
      <c r="A33" s="1">
        <v>45536</v>
      </c>
      <c r="B33">
        <v>973</v>
      </c>
    </row>
    <row r="34" spans="1:2" x14ac:dyDescent="0.3">
      <c r="A34" s="1">
        <v>45566</v>
      </c>
      <c r="B34">
        <v>1269</v>
      </c>
    </row>
    <row r="35" spans="1:2" x14ac:dyDescent="0.3">
      <c r="A35" s="1">
        <v>45597</v>
      </c>
      <c r="B35">
        <v>1145</v>
      </c>
    </row>
    <row r="36" spans="1:2" x14ac:dyDescent="0.3">
      <c r="A36" s="1">
        <v>45627</v>
      </c>
      <c r="B36">
        <v>1365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AA57-5827-4227-8AAD-C5885EB2C271}">
  <dimension ref="A1:AC72"/>
  <sheetViews>
    <sheetView tabSelected="1" topLeftCell="A60" zoomScaleNormal="100" workbookViewId="0">
      <selection activeCell="K72" sqref="K72"/>
    </sheetView>
  </sheetViews>
  <sheetFormatPr defaultRowHeight="14.4" x14ac:dyDescent="0.3"/>
  <cols>
    <col min="1" max="1" width="9.6640625" bestFit="1" customWidth="1"/>
    <col min="2" max="2" width="9.6640625" customWidth="1"/>
    <col min="3" max="3" width="11.109375" bestFit="1" customWidth="1"/>
    <col min="4" max="4" width="12.44140625" bestFit="1" customWidth="1"/>
    <col min="5" max="5" width="7.5546875" bestFit="1" customWidth="1"/>
    <col min="6" max="6" width="10" bestFit="1" customWidth="1"/>
    <col min="7" max="7" width="10.5546875" bestFit="1" customWidth="1"/>
    <col min="8" max="8" width="12.6640625" bestFit="1" customWidth="1"/>
    <col min="9" max="9" width="14.44140625" bestFit="1" customWidth="1"/>
    <col min="10" max="11" width="7.6640625" bestFit="1" customWidth="1"/>
    <col min="13" max="13" width="22.5546875" style="2" bestFit="1" customWidth="1"/>
    <col min="14" max="14" width="12" bestFit="1" customWidth="1"/>
    <col min="15" max="15" width="12.6640625" bestFit="1" customWidth="1"/>
    <col min="16" max="16" width="12" bestFit="1" customWidth="1"/>
    <col min="17" max="17" width="7.5546875" bestFit="1" customWidth="1"/>
    <col min="18" max="18" width="11.109375" bestFit="1" customWidth="1"/>
    <col min="19" max="19" width="12" bestFit="1" customWidth="1"/>
    <col min="20" max="20" width="8.5546875" bestFit="1" customWidth="1"/>
    <col min="21" max="21" width="10.5546875" bestFit="1" customWidth="1"/>
    <col min="22" max="22" width="9.77734375" bestFit="1" customWidth="1"/>
    <col min="23" max="23" width="7" bestFit="1" customWidth="1"/>
    <col min="24" max="24" width="12.6640625" style="3" bestFit="1" customWidth="1"/>
    <col min="25" max="25" width="13.6640625" style="3" bestFit="1" customWidth="1"/>
    <col min="26" max="26" width="9" style="3" bestFit="1" customWidth="1"/>
    <col min="27" max="27" width="12" style="3" bestFit="1" customWidth="1"/>
    <col min="28" max="28" width="12.6640625" style="3" bestFit="1" customWidth="1"/>
    <col min="29" max="29" width="12" style="7" bestFit="1" customWidth="1"/>
  </cols>
  <sheetData>
    <row r="1" spans="1:29" x14ac:dyDescent="0.3">
      <c r="B1" t="s">
        <v>1</v>
      </c>
      <c r="F1" s="2"/>
      <c r="H1" s="2" t="s">
        <v>40</v>
      </c>
      <c r="K1" s="2" t="s">
        <v>41</v>
      </c>
      <c r="M1" s="2" t="s">
        <v>42</v>
      </c>
      <c r="N1" s="2" t="s">
        <v>43</v>
      </c>
    </row>
    <row r="2" spans="1:29" x14ac:dyDescent="0.3">
      <c r="A2" t="s">
        <v>0</v>
      </c>
      <c r="B2" t="s">
        <v>2</v>
      </c>
      <c r="C2" t="s">
        <v>3</v>
      </c>
      <c r="D2" t="s">
        <v>4</v>
      </c>
      <c r="F2" s="2" t="s">
        <v>34</v>
      </c>
      <c r="G2" t="s">
        <v>2</v>
      </c>
      <c r="H2" t="s">
        <v>3</v>
      </c>
      <c r="I2" t="s">
        <v>4</v>
      </c>
      <c r="J2" s="2"/>
      <c r="K2" s="2"/>
      <c r="M2"/>
    </row>
    <row r="3" spans="1:29" x14ac:dyDescent="0.3">
      <c r="A3" t="s">
        <v>5</v>
      </c>
      <c r="C3">
        <v>1164</v>
      </c>
      <c r="D3">
        <v>1167</v>
      </c>
      <c r="F3" s="2" t="s">
        <v>23</v>
      </c>
      <c r="H3" s="3">
        <v>1254.0416666666665</v>
      </c>
      <c r="I3" s="3">
        <v>1319.2916666666665</v>
      </c>
      <c r="J3" s="4"/>
      <c r="K3" s="4">
        <f>100*C3/H3</f>
        <v>92.819882380303696</v>
      </c>
      <c r="L3">
        <f>100*D3/I3</f>
        <v>88.456558127783225</v>
      </c>
      <c r="M3" s="4">
        <f>AVERAGE(J3:L3)</f>
        <v>90.63822025404346</v>
      </c>
      <c r="N3">
        <f t="shared" ref="N3:N14" si="0">M3*($L$15/$M$15)</f>
        <v>87.786394328523798</v>
      </c>
      <c r="O3">
        <v>87.786394328523798</v>
      </c>
      <c r="AC3" s="8"/>
    </row>
    <row r="4" spans="1:29" x14ac:dyDescent="0.3">
      <c r="A4" t="s">
        <v>7</v>
      </c>
      <c r="C4">
        <v>1067</v>
      </c>
      <c r="D4">
        <v>1135</v>
      </c>
      <c r="F4" s="2" t="s">
        <v>7</v>
      </c>
      <c r="H4" s="3">
        <v>1266.7083333333335</v>
      </c>
      <c r="I4" s="3">
        <v>1319.5</v>
      </c>
      <c r="J4" s="4"/>
      <c r="K4" s="4">
        <f t="shared" ref="K4:K14" si="1">100*C4/H4</f>
        <v>84.234071247656317</v>
      </c>
      <c r="L4">
        <f t="shared" ref="L4:L8" si="2">100*D4/I4</f>
        <v>86.017430845017046</v>
      </c>
      <c r="M4" s="4">
        <f t="shared" ref="M4:M14" si="3">AVERAGE(J4:L4)</f>
        <v>85.125751046336688</v>
      </c>
      <c r="N4">
        <f t="shared" si="0"/>
        <v>82.447368537469572</v>
      </c>
      <c r="O4">
        <v>82.447368537469572</v>
      </c>
      <c r="AC4" s="8"/>
    </row>
    <row r="5" spans="1:29" x14ac:dyDescent="0.3">
      <c r="A5" t="s">
        <v>8</v>
      </c>
      <c r="C5">
        <v>1246</v>
      </c>
      <c r="D5">
        <v>1271</v>
      </c>
      <c r="F5" s="2" t="s">
        <v>24</v>
      </c>
      <c r="H5" s="3">
        <v>1277.9166666666667</v>
      </c>
      <c r="I5" s="3">
        <v>1329.4166666666667</v>
      </c>
      <c r="J5" s="4"/>
      <c r="K5" s="4">
        <f t="shared" si="1"/>
        <v>97.502445386371036</v>
      </c>
      <c r="L5">
        <f t="shared" si="2"/>
        <v>95.60584216134896</v>
      </c>
      <c r="M5" s="4">
        <f t="shared" si="3"/>
        <v>96.554143773860005</v>
      </c>
      <c r="N5">
        <f t="shared" si="0"/>
        <v>93.516180212143183</v>
      </c>
      <c r="O5">
        <v>93.516180212143183</v>
      </c>
      <c r="AC5" s="8"/>
    </row>
    <row r="6" spans="1:29" x14ac:dyDescent="0.3">
      <c r="A6" t="s">
        <v>9</v>
      </c>
      <c r="C6">
        <v>1477</v>
      </c>
      <c r="D6">
        <v>1603</v>
      </c>
      <c r="F6" s="2" t="s">
        <v>25</v>
      </c>
      <c r="H6" s="3">
        <v>1286.5833333333335</v>
      </c>
      <c r="I6" s="3">
        <v>1341.75</v>
      </c>
      <c r="J6" s="4"/>
      <c r="K6" s="4">
        <f t="shared" si="1"/>
        <v>114.80018135889628</v>
      </c>
      <c r="L6">
        <f t="shared" si="2"/>
        <v>119.470840320477</v>
      </c>
      <c r="M6" s="4">
        <f t="shared" si="3"/>
        <v>117.13551083968665</v>
      </c>
      <c r="N6">
        <f t="shared" si="0"/>
        <v>113.44997855898517</v>
      </c>
      <c r="O6">
        <v>113.44997855898517</v>
      </c>
      <c r="AC6" s="8"/>
    </row>
    <row r="7" spans="1:29" x14ac:dyDescent="0.3">
      <c r="A7" t="s">
        <v>10</v>
      </c>
      <c r="C7">
        <v>1496</v>
      </c>
      <c r="D7">
        <v>1362</v>
      </c>
      <c r="F7" s="2" t="s">
        <v>26</v>
      </c>
      <c r="H7" s="3">
        <v>1295</v>
      </c>
      <c r="I7" s="3">
        <v>1350.2083333333333</v>
      </c>
      <c r="J7" s="4"/>
      <c r="K7" s="4">
        <f t="shared" si="1"/>
        <v>115.52123552123552</v>
      </c>
      <c r="L7">
        <f t="shared" si="2"/>
        <v>100.87332201820708</v>
      </c>
      <c r="M7" s="4">
        <f t="shared" si="3"/>
        <v>108.19727876972129</v>
      </c>
      <c r="N7">
        <f t="shared" si="0"/>
        <v>104.79297754004877</v>
      </c>
      <c r="O7">
        <v>104.79297754004877</v>
      </c>
      <c r="AC7" s="8"/>
    </row>
    <row r="8" spans="1:29" x14ac:dyDescent="0.3">
      <c r="A8" t="s">
        <v>11</v>
      </c>
      <c r="C8">
        <v>1635</v>
      </c>
      <c r="D8">
        <v>1746</v>
      </c>
      <c r="F8" s="2" t="s">
        <v>27</v>
      </c>
      <c r="H8" s="3">
        <v>1302.3333333333335</v>
      </c>
      <c r="I8" s="3">
        <v>1350.5833333333333</v>
      </c>
      <c r="J8" s="4"/>
      <c r="K8" s="4">
        <f t="shared" si="1"/>
        <v>125.54389557205015</v>
      </c>
      <c r="L8">
        <f t="shared" si="2"/>
        <v>129.27747269698278</v>
      </c>
      <c r="M8" s="4">
        <f t="shared" si="3"/>
        <v>127.41068413451646</v>
      </c>
      <c r="N8">
        <f t="shared" si="0"/>
        <v>123.4018555058806</v>
      </c>
      <c r="O8">
        <v>123.4018555058806</v>
      </c>
      <c r="AC8" s="8"/>
    </row>
    <row r="9" spans="1:29" x14ac:dyDescent="0.3">
      <c r="A9" t="s">
        <v>12</v>
      </c>
      <c r="B9">
        <v>922</v>
      </c>
      <c r="C9">
        <v>1059</v>
      </c>
      <c r="F9" s="2" t="s">
        <v>28</v>
      </c>
      <c r="G9" s="3">
        <v>940.58333333333326</v>
      </c>
      <c r="H9" s="3">
        <v>1305.7916666666667</v>
      </c>
      <c r="J9" s="4">
        <f>100*B9/G9</f>
        <v>98.024275715424835</v>
      </c>
      <c r="K9" s="4">
        <f t="shared" si="1"/>
        <v>81.100226554772007</v>
      </c>
      <c r="M9" s="4">
        <f t="shared" si="3"/>
        <v>89.562251135098421</v>
      </c>
      <c r="N9">
        <f t="shared" si="0"/>
        <v>86.744279323437851</v>
      </c>
      <c r="O9">
        <v>86.744279323437851</v>
      </c>
      <c r="AC9" s="8"/>
    </row>
    <row r="10" spans="1:29" x14ac:dyDescent="0.3">
      <c r="A10" t="s">
        <v>13</v>
      </c>
      <c r="B10">
        <v>1167</v>
      </c>
      <c r="C10">
        <v>1334</v>
      </c>
      <c r="F10" s="2" t="s">
        <v>29</v>
      </c>
      <c r="G10" s="3">
        <v>985.33333333333326</v>
      </c>
      <c r="H10" s="3">
        <v>1308.75</v>
      </c>
      <c r="J10" s="4">
        <f t="shared" ref="J10:J14" si="4">100*B10/G10</f>
        <v>118.43707713125846</v>
      </c>
      <c r="K10" s="4">
        <f t="shared" si="1"/>
        <v>101.92932187201528</v>
      </c>
      <c r="M10" s="4">
        <f t="shared" si="3"/>
        <v>110.18319950163686</v>
      </c>
      <c r="N10">
        <f t="shared" si="0"/>
        <v>106.71641359151242</v>
      </c>
      <c r="O10">
        <v>106.71641359151242</v>
      </c>
      <c r="AC10" s="8"/>
    </row>
    <row r="11" spans="1:29" x14ac:dyDescent="0.3">
      <c r="A11" t="s">
        <v>14</v>
      </c>
      <c r="B11">
        <v>1306</v>
      </c>
      <c r="C11">
        <v>1408</v>
      </c>
      <c r="F11" s="2" t="s">
        <v>30</v>
      </c>
      <c r="G11" s="3">
        <v>1023.9583333333333</v>
      </c>
      <c r="H11" s="3">
        <v>1312.625</v>
      </c>
      <c r="J11" s="4">
        <f t="shared" si="4"/>
        <v>127.54425228891151</v>
      </c>
      <c r="K11" s="4">
        <f t="shared" si="1"/>
        <v>107.26597466907914</v>
      </c>
      <c r="M11" s="4">
        <f t="shared" si="3"/>
        <v>117.40511347899533</v>
      </c>
      <c r="N11">
        <f t="shared" si="0"/>
        <v>113.71109846557674</v>
      </c>
      <c r="O11">
        <v>113.71109846557674</v>
      </c>
      <c r="AC11" s="8"/>
    </row>
    <row r="12" spans="1:29" x14ac:dyDescent="0.3">
      <c r="A12" t="s">
        <v>15</v>
      </c>
      <c r="B12">
        <v>1355</v>
      </c>
      <c r="C12">
        <v>1461</v>
      </c>
      <c r="F12" s="2" t="s">
        <v>31</v>
      </c>
      <c r="G12" s="3">
        <v>1082</v>
      </c>
      <c r="H12" s="3">
        <v>1318.9166666666667</v>
      </c>
      <c r="J12" s="4">
        <f t="shared" si="4"/>
        <v>125.23105360443623</v>
      </c>
      <c r="K12" s="4">
        <f t="shared" si="1"/>
        <v>110.77273014468945</v>
      </c>
      <c r="M12" s="4">
        <f t="shared" si="3"/>
        <v>118.00189187456283</v>
      </c>
      <c r="N12">
        <f t="shared" si="0"/>
        <v>114.28909992470949</v>
      </c>
      <c r="O12">
        <v>114.28909992470949</v>
      </c>
      <c r="AC12" s="8"/>
    </row>
    <row r="13" spans="1:29" x14ac:dyDescent="0.3">
      <c r="A13" t="s">
        <v>16</v>
      </c>
      <c r="B13">
        <v>998</v>
      </c>
      <c r="C13">
        <v>1094</v>
      </c>
      <c r="F13" s="2" t="s">
        <v>32</v>
      </c>
      <c r="G13" s="3">
        <v>1148.4583333333335</v>
      </c>
      <c r="H13" s="3">
        <v>1318.5833333333335</v>
      </c>
      <c r="J13" s="4">
        <f t="shared" si="4"/>
        <v>86.899103871131572</v>
      </c>
      <c r="K13" s="4">
        <f t="shared" si="1"/>
        <v>82.967831637489724</v>
      </c>
      <c r="M13" s="4">
        <f t="shared" si="3"/>
        <v>84.933467754310641</v>
      </c>
      <c r="N13">
        <f t="shared" si="0"/>
        <v>82.261135215044717</v>
      </c>
      <c r="O13">
        <v>82.261135215044717</v>
      </c>
      <c r="AC13" s="8"/>
    </row>
    <row r="14" spans="1:29" x14ac:dyDescent="0.3">
      <c r="A14" t="s">
        <v>6</v>
      </c>
      <c r="B14">
        <v>1147</v>
      </c>
      <c r="C14">
        <v>1227</v>
      </c>
      <c r="F14" s="2" t="s">
        <v>33</v>
      </c>
      <c r="G14" s="3">
        <v>1213.125</v>
      </c>
      <c r="H14" s="3">
        <v>1317.625</v>
      </c>
      <c r="J14" s="4">
        <f t="shared" si="4"/>
        <v>94.549201442555386</v>
      </c>
      <c r="K14" s="4">
        <f t="shared" si="1"/>
        <v>93.122094677924295</v>
      </c>
      <c r="M14" s="4">
        <f t="shared" si="3"/>
        <v>93.835648060239834</v>
      </c>
      <c r="N14">
        <f t="shared" si="0"/>
        <v>90.883218796667734</v>
      </c>
      <c r="O14">
        <v>90.883218796667734</v>
      </c>
      <c r="AC14" s="8"/>
    </row>
    <row r="15" spans="1:29" x14ac:dyDescent="0.3">
      <c r="A15" s="3"/>
      <c r="B15" s="3"/>
      <c r="C15" s="3"/>
      <c r="F15" s="2" t="s">
        <v>35</v>
      </c>
      <c r="J15" s="5"/>
      <c r="K15" s="5"/>
      <c r="L15">
        <v>1200</v>
      </c>
      <c r="M15" s="5">
        <f>SUM(M3:M14)</f>
        <v>1238.9831606230084</v>
      </c>
      <c r="AC15" s="8"/>
    </row>
    <row r="16" spans="1:29" x14ac:dyDescent="0.3">
      <c r="A16" s="3"/>
      <c r="B16" s="3"/>
      <c r="C16" s="3"/>
      <c r="F16" s="2"/>
      <c r="M16"/>
      <c r="AC16" s="8"/>
    </row>
    <row r="17" spans="1:29" x14ac:dyDescent="0.3">
      <c r="G17" s="3"/>
      <c r="H17" s="3"/>
      <c r="I17" s="3"/>
      <c r="J17" s="3"/>
      <c r="AC17" s="8"/>
    </row>
    <row r="18" spans="1:29" x14ac:dyDescent="0.3">
      <c r="G18" s="3"/>
      <c r="H18" s="3"/>
      <c r="I18" s="3"/>
      <c r="J18" s="3"/>
      <c r="AC18" s="8"/>
    </row>
    <row r="19" spans="1:29" x14ac:dyDescent="0.3">
      <c r="G19" s="3"/>
      <c r="H19" s="3"/>
      <c r="I19" s="3"/>
      <c r="J19" s="3"/>
      <c r="AC19" s="8"/>
    </row>
    <row r="20" spans="1:29" x14ac:dyDescent="0.3">
      <c r="G20" s="3"/>
      <c r="H20" s="3"/>
      <c r="I20" s="3"/>
      <c r="J20" s="3"/>
      <c r="AC20" s="8"/>
    </row>
    <row r="21" spans="1:29" x14ac:dyDescent="0.3">
      <c r="G21" s="3"/>
      <c r="H21" s="3"/>
      <c r="I21" s="3"/>
      <c r="J21" s="3"/>
      <c r="AC21" s="8"/>
    </row>
    <row r="22" spans="1:29" x14ac:dyDescent="0.3">
      <c r="G22" s="3"/>
      <c r="H22" s="3"/>
      <c r="I22" s="3"/>
      <c r="J22" s="3"/>
      <c r="AC22" s="8"/>
    </row>
    <row r="23" spans="1:29" s="2" customFormat="1" x14ac:dyDescent="0.3">
      <c r="A23" s="2" t="s">
        <v>19</v>
      </c>
      <c r="B23" s="2" t="s">
        <v>45</v>
      </c>
      <c r="C23" s="2" t="s">
        <v>18</v>
      </c>
      <c r="D23" s="2" t="s">
        <v>17</v>
      </c>
      <c r="E23" s="2" t="s">
        <v>37</v>
      </c>
      <c r="F23" s="2" t="s">
        <v>38</v>
      </c>
      <c r="G23" s="6" t="s">
        <v>43</v>
      </c>
      <c r="H23" s="6" t="s">
        <v>44</v>
      </c>
      <c r="I23" s="6" t="s">
        <v>36</v>
      </c>
      <c r="J23" s="6" t="s">
        <v>46</v>
      </c>
      <c r="K23" s="2" t="s">
        <v>47</v>
      </c>
      <c r="X23" s="6"/>
      <c r="Y23" s="6"/>
      <c r="Z23" s="6"/>
      <c r="AA23" s="6"/>
      <c r="AB23" s="6"/>
      <c r="AC23" s="9"/>
    </row>
    <row r="24" spans="1:29" x14ac:dyDescent="0.3">
      <c r="A24" t="s">
        <v>20</v>
      </c>
      <c r="B24">
        <v>1</v>
      </c>
      <c r="C24" s="1" t="s">
        <v>23</v>
      </c>
      <c r="D24">
        <v>512</v>
      </c>
      <c r="G24">
        <v>87.786394328523798</v>
      </c>
      <c r="H24" s="3">
        <f>D24/G24*100</f>
        <v>583.23388711459984</v>
      </c>
      <c r="I24" s="3">
        <f t="shared" ref="I24:I70" si="5">17.998*B24+856.96</f>
        <v>874.95800000000008</v>
      </c>
      <c r="J24" s="3">
        <f>I24*G24/100</f>
        <v>768.09408008896526</v>
      </c>
      <c r="K24">
        <f>ABS((D24-J24)/D24)*100</f>
        <v>50.01837501737603</v>
      </c>
      <c r="AC24" s="8"/>
    </row>
    <row r="25" spans="1:29" x14ac:dyDescent="0.3">
      <c r="B25">
        <v>2</v>
      </c>
      <c r="C25" s="1" t="s">
        <v>7</v>
      </c>
      <c r="D25">
        <v>645</v>
      </c>
      <c r="G25">
        <v>82.447368537469572</v>
      </c>
      <c r="H25" s="3">
        <f t="shared" ref="H25:H35" si="6">D25/G25*100</f>
        <v>782.3172666898023</v>
      </c>
      <c r="I25" s="3">
        <f t="shared" si="5"/>
        <v>892.95600000000002</v>
      </c>
      <c r="J25" s="3">
        <f t="shared" ref="J25:J35" si="7">I25*G25/100</f>
        <v>736.21872419744682</v>
      </c>
      <c r="K25">
        <f t="shared" ref="K25:K59" si="8">ABS((D25-J25)/D25)*100</f>
        <v>14.142437860069274</v>
      </c>
      <c r="AC25" s="8"/>
    </row>
    <row r="26" spans="1:29" x14ac:dyDescent="0.3">
      <c r="B26">
        <v>3</v>
      </c>
      <c r="C26" s="1" t="s">
        <v>24</v>
      </c>
      <c r="D26">
        <v>741</v>
      </c>
      <c r="G26">
        <v>93.516180212143183</v>
      </c>
      <c r="H26" s="3">
        <f t="shared" si="6"/>
        <v>792.37624795947374</v>
      </c>
      <c r="I26" s="3">
        <f t="shared" si="5"/>
        <v>910.95400000000006</v>
      </c>
      <c r="J26" s="3">
        <f t="shared" si="7"/>
        <v>851.88938428972688</v>
      </c>
      <c r="K26">
        <f t="shared" si="8"/>
        <v>14.964829188897014</v>
      </c>
      <c r="AC26" s="8"/>
    </row>
    <row r="27" spans="1:29" x14ac:dyDescent="0.3">
      <c r="B27">
        <v>4</v>
      </c>
      <c r="C27" s="1" t="s">
        <v>25</v>
      </c>
      <c r="D27">
        <v>589</v>
      </c>
      <c r="G27">
        <v>113.44997855898517</v>
      </c>
      <c r="H27" s="3">
        <f t="shared" si="6"/>
        <v>519.17153928219193</v>
      </c>
      <c r="I27" s="3">
        <f t="shared" si="5"/>
        <v>928.952</v>
      </c>
      <c r="J27" s="3">
        <f t="shared" si="7"/>
        <v>1053.8958448232638</v>
      </c>
      <c r="K27">
        <f t="shared" si="8"/>
        <v>78.929685029416603</v>
      </c>
      <c r="AC27" s="8"/>
    </row>
    <row r="28" spans="1:29" x14ac:dyDescent="0.3">
      <c r="B28">
        <v>5</v>
      </c>
      <c r="C28" s="1" t="s">
        <v>26</v>
      </c>
      <c r="D28">
        <v>789</v>
      </c>
      <c r="G28">
        <v>104.79297754004877</v>
      </c>
      <c r="H28" s="3">
        <f t="shared" si="6"/>
        <v>752.91304677211565</v>
      </c>
      <c r="I28" s="3">
        <f t="shared" si="5"/>
        <v>946.95</v>
      </c>
      <c r="J28" s="3">
        <f t="shared" si="7"/>
        <v>992.33710081549191</v>
      </c>
      <c r="K28">
        <f t="shared" si="8"/>
        <v>25.771495667362725</v>
      </c>
      <c r="AC28" s="8"/>
    </row>
    <row r="29" spans="1:29" x14ac:dyDescent="0.3">
      <c r="B29">
        <v>6</v>
      </c>
      <c r="C29" s="1" t="s">
        <v>27</v>
      </c>
      <c r="D29">
        <v>790</v>
      </c>
      <c r="E29" s="3">
        <f>AVERAGE(D24:D35)</f>
        <v>913.41666666666663</v>
      </c>
      <c r="G29">
        <v>123.4018555058806</v>
      </c>
      <c r="H29" s="3">
        <f t="shared" si="6"/>
        <v>640.18486331621909</v>
      </c>
      <c r="I29" s="3">
        <f t="shared" si="5"/>
        <v>964.94800000000009</v>
      </c>
      <c r="J29" s="3">
        <f t="shared" si="7"/>
        <v>1190.7637366668851</v>
      </c>
      <c r="K29">
        <f t="shared" si="8"/>
        <v>50.729586919858875</v>
      </c>
      <c r="AC29" s="8"/>
    </row>
    <row r="30" spans="1:29" x14ac:dyDescent="0.3">
      <c r="B30">
        <v>7</v>
      </c>
      <c r="C30" s="1" t="s">
        <v>28</v>
      </c>
      <c r="D30">
        <v>922</v>
      </c>
      <c r="E30" s="3">
        <f t="shared" ref="E30:E53" si="9">AVERAGE(D25:D36)</f>
        <v>967.75</v>
      </c>
      <c r="F30" s="3">
        <f>AVERAGE(E29:E30)</f>
        <v>940.58333333333326</v>
      </c>
      <c r="G30">
        <v>86.744279323437851</v>
      </c>
      <c r="H30" s="3">
        <f t="shared" si="6"/>
        <v>1062.8942994179449</v>
      </c>
      <c r="I30" s="3">
        <f t="shared" si="5"/>
        <v>982.94600000000003</v>
      </c>
      <c r="J30" s="3">
        <f t="shared" si="7"/>
        <v>852.64942383855941</v>
      </c>
      <c r="K30">
        <f t="shared" si="8"/>
        <v>7.5217544643644887</v>
      </c>
      <c r="AC30" s="8"/>
    </row>
    <row r="31" spans="1:29" x14ac:dyDescent="0.3">
      <c r="B31">
        <v>8</v>
      </c>
      <c r="C31" s="1" t="s">
        <v>29</v>
      </c>
      <c r="D31">
        <v>1167</v>
      </c>
      <c r="E31" s="3">
        <f t="shared" si="9"/>
        <v>1002.9166666666666</v>
      </c>
      <c r="F31" s="3">
        <f t="shared" ref="F31:F53" si="10">AVERAGE(E30:E31)</f>
        <v>985.33333333333326</v>
      </c>
      <c r="G31">
        <v>106.71641359151242</v>
      </c>
      <c r="H31" s="3">
        <f t="shared" si="6"/>
        <v>1093.552491809766</v>
      </c>
      <c r="I31" s="3">
        <f t="shared" si="5"/>
        <v>1000.9440000000001</v>
      </c>
      <c r="J31" s="3">
        <f t="shared" si="7"/>
        <v>1068.1715388594282</v>
      </c>
      <c r="K31">
        <f t="shared" si="8"/>
        <v>8.468591357375475</v>
      </c>
      <c r="AC31" s="8"/>
    </row>
    <row r="32" spans="1:29" x14ac:dyDescent="0.3">
      <c r="B32">
        <v>9</v>
      </c>
      <c r="C32" s="1" t="s">
        <v>30</v>
      </c>
      <c r="D32">
        <v>1306</v>
      </c>
      <c r="E32" s="3">
        <f t="shared" si="9"/>
        <v>1045</v>
      </c>
      <c r="F32" s="3">
        <f t="shared" si="10"/>
        <v>1023.9583333333333</v>
      </c>
      <c r="G32">
        <v>113.71109846557674</v>
      </c>
      <c r="H32" s="3">
        <f t="shared" si="6"/>
        <v>1148.5246538141216</v>
      </c>
      <c r="I32" s="3">
        <f t="shared" si="5"/>
        <v>1018.942</v>
      </c>
      <c r="J32" s="3">
        <f t="shared" si="7"/>
        <v>1158.6501409271168</v>
      </c>
      <c r="K32">
        <f t="shared" si="8"/>
        <v>11.282531322579111</v>
      </c>
      <c r="AC32" s="8"/>
    </row>
    <row r="33" spans="1:29" x14ac:dyDescent="0.3">
      <c r="B33">
        <v>10</v>
      </c>
      <c r="C33" s="1" t="s">
        <v>31</v>
      </c>
      <c r="D33">
        <v>1355</v>
      </c>
      <c r="E33" s="3">
        <f t="shared" si="9"/>
        <v>1119</v>
      </c>
      <c r="F33" s="3">
        <f t="shared" si="10"/>
        <v>1082</v>
      </c>
      <c r="G33">
        <v>114.28909992470949</v>
      </c>
      <c r="H33" s="3">
        <f t="shared" si="6"/>
        <v>1185.5898776809308</v>
      </c>
      <c r="I33" s="3">
        <f t="shared" si="5"/>
        <v>1036.94</v>
      </c>
      <c r="J33" s="3">
        <f t="shared" si="7"/>
        <v>1185.1093927592826</v>
      </c>
      <c r="K33">
        <f t="shared" si="8"/>
        <v>12.538052194886893</v>
      </c>
      <c r="AC33" s="8"/>
    </row>
    <row r="34" spans="1:29" x14ac:dyDescent="0.3">
      <c r="B34">
        <v>11</v>
      </c>
      <c r="C34" s="1" t="s">
        <v>32</v>
      </c>
      <c r="D34">
        <v>998</v>
      </c>
      <c r="E34" s="3">
        <f t="shared" si="9"/>
        <v>1177.9166666666667</v>
      </c>
      <c r="F34" s="3">
        <f t="shared" si="10"/>
        <v>1148.4583333333335</v>
      </c>
      <c r="G34">
        <v>82.261135215044717</v>
      </c>
      <c r="H34" s="3">
        <f t="shared" si="6"/>
        <v>1213.2096127667785</v>
      </c>
      <c r="I34" s="3">
        <f t="shared" si="5"/>
        <v>1054.9380000000001</v>
      </c>
      <c r="J34" s="3">
        <f t="shared" si="7"/>
        <v>867.8039746148886</v>
      </c>
      <c r="K34">
        <f t="shared" si="8"/>
        <v>13.045693926363869</v>
      </c>
      <c r="AC34" s="8"/>
    </row>
    <row r="35" spans="1:29" x14ac:dyDescent="0.3">
      <c r="B35">
        <v>12</v>
      </c>
      <c r="C35" s="1" t="s">
        <v>33</v>
      </c>
      <c r="D35">
        <v>1147</v>
      </c>
      <c r="E35" s="3">
        <f t="shared" si="9"/>
        <v>1248.3333333333333</v>
      </c>
      <c r="F35" s="3">
        <f t="shared" si="10"/>
        <v>1213.125</v>
      </c>
      <c r="G35">
        <v>90.883218796667734</v>
      </c>
      <c r="H35" s="3">
        <f t="shared" si="6"/>
        <v>1262.059173505038</v>
      </c>
      <c r="I35" s="3">
        <f t="shared" si="5"/>
        <v>1072.9360000000001</v>
      </c>
      <c r="J35" s="3">
        <f t="shared" si="7"/>
        <v>975.11877242821504</v>
      </c>
      <c r="K35">
        <f t="shared" si="8"/>
        <v>14.98528575168134</v>
      </c>
      <c r="AC35" s="8"/>
    </row>
    <row r="36" spans="1:29" x14ac:dyDescent="0.3">
      <c r="A36" t="s">
        <v>21</v>
      </c>
      <c r="B36">
        <v>13</v>
      </c>
      <c r="C36" s="1" t="s">
        <v>23</v>
      </c>
      <c r="D36">
        <v>1164</v>
      </c>
      <c r="E36" s="3">
        <f t="shared" si="9"/>
        <v>1259.75</v>
      </c>
      <c r="F36" s="3">
        <f t="shared" si="10"/>
        <v>1254.0416666666665</v>
      </c>
      <c r="G36">
        <v>87.786394328523798</v>
      </c>
      <c r="H36" s="3">
        <f t="shared" ref="H36:H59" si="11">D36/G36*100</f>
        <v>1325.945790237098</v>
      </c>
      <c r="I36" s="3">
        <f t="shared" si="5"/>
        <v>1090.934</v>
      </c>
      <c r="J36" s="3">
        <f t="shared" ref="J36:J71" si="12">I36*G36/100</f>
        <v>957.69162310393779</v>
      </c>
      <c r="K36">
        <f t="shared" si="8"/>
        <v>17.724087362204656</v>
      </c>
      <c r="AC36" s="8"/>
    </row>
    <row r="37" spans="1:29" x14ac:dyDescent="0.3">
      <c r="B37">
        <v>14</v>
      </c>
      <c r="C37" s="1" t="s">
        <v>7</v>
      </c>
      <c r="D37">
        <v>1067</v>
      </c>
      <c r="E37" s="3">
        <f t="shared" si="9"/>
        <v>1273.6666666666667</v>
      </c>
      <c r="F37" s="3">
        <f t="shared" si="10"/>
        <v>1266.7083333333335</v>
      </c>
      <c r="G37">
        <v>82.447368537469572</v>
      </c>
      <c r="H37" s="3">
        <f t="shared" si="11"/>
        <v>1294.1589512527428</v>
      </c>
      <c r="I37" s="3">
        <f t="shared" si="5"/>
        <v>1108.932</v>
      </c>
      <c r="J37" s="3">
        <f t="shared" si="12"/>
        <v>914.28525286993215</v>
      </c>
      <c r="K37">
        <f t="shared" si="8"/>
        <v>14.312534876295018</v>
      </c>
      <c r="AC37" s="8"/>
    </row>
    <row r="38" spans="1:29" x14ac:dyDescent="0.3">
      <c r="B38">
        <v>15</v>
      </c>
      <c r="C38" s="1" t="s">
        <v>24</v>
      </c>
      <c r="D38">
        <v>1246</v>
      </c>
      <c r="E38" s="3">
        <f t="shared" si="9"/>
        <v>1282.1666666666667</v>
      </c>
      <c r="F38" s="3">
        <f t="shared" si="10"/>
        <v>1277.9166666666667</v>
      </c>
      <c r="G38">
        <v>93.516180212143183</v>
      </c>
      <c r="H38" s="3">
        <f t="shared" si="11"/>
        <v>1332.3897502800328</v>
      </c>
      <c r="I38" s="3">
        <f t="shared" si="5"/>
        <v>1126.93</v>
      </c>
      <c r="J38" s="3">
        <f t="shared" si="12"/>
        <v>1053.8618896647051</v>
      </c>
      <c r="K38">
        <f t="shared" si="8"/>
        <v>15.420394087904885</v>
      </c>
      <c r="AC38" s="8"/>
    </row>
    <row r="39" spans="1:29" x14ac:dyDescent="0.3">
      <c r="B39">
        <v>16</v>
      </c>
      <c r="C39" s="1" t="s">
        <v>25</v>
      </c>
      <c r="D39">
        <v>1477</v>
      </c>
      <c r="E39" s="3">
        <f t="shared" si="9"/>
        <v>1291</v>
      </c>
      <c r="F39" s="3">
        <f t="shared" si="10"/>
        <v>1286.5833333333335</v>
      </c>
      <c r="G39">
        <v>113.44997855898517</v>
      </c>
      <c r="H39" s="3">
        <f t="shared" si="11"/>
        <v>1301.8953540234254</v>
      </c>
      <c r="I39" s="3">
        <f t="shared" si="5"/>
        <v>1144.9280000000001</v>
      </c>
      <c r="J39" s="3">
        <f t="shared" si="12"/>
        <v>1298.9205705158179</v>
      </c>
      <c r="K39">
        <f t="shared" si="8"/>
        <v>12.056833411251329</v>
      </c>
      <c r="AC39" s="8"/>
    </row>
    <row r="40" spans="1:29" x14ac:dyDescent="0.3">
      <c r="B40">
        <v>17</v>
      </c>
      <c r="C40" s="1" t="s">
        <v>26</v>
      </c>
      <c r="D40">
        <v>1496</v>
      </c>
      <c r="E40" s="3">
        <f t="shared" si="9"/>
        <v>1299</v>
      </c>
      <c r="F40" s="3">
        <f t="shared" si="10"/>
        <v>1295</v>
      </c>
      <c r="G40">
        <v>104.79297754004877</v>
      </c>
      <c r="H40" s="3">
        <f t="shared" si="11"/>
        <v>1427.5765753752662</v>
      </c>
      <c r="I40" s="3">
        <f t="shared" si="5"/>
        <v>1162.9259999999999</v>
      </c>
      <c r="J40" s="3">
        <f t="shared" si="12"/>
        <v>1218.6647819873874</v>
      </c>
      <c r="K40">
        <f t="shared" si="8"/>
        <v>18.538450401912606</v>
      </c>
      <c r="AC40" s="8"/>
    </row>
    <row r="41" spans="1:29" x14ac:dyDescent="0.3">
      <c r="B41">
        <v>18</v>
      </c>
      <c r="C41" s="1" t="s">
        <v>27</v>
      </c>
      <c r="D41">
        <v>1635</v>
      </c>
      <c r="E41" s="3">
        <f t="shared" si="9"/>
        <v>1305.6666666666667</v>
      </c>
      <c r="F41" s="3">
        <f t="shared" si="10"/>
        <v>1302.3333333333335</v>
      </c>
      <c r="G41">
        <v>123.4018555058806</v>
      </c>
      <c r="H41" s="3">
        <f t="shared" si="11"/>
        <v>1324.9395588886309</v>
      </c>
      <c r="I41" s="3">
        <f t="shared" si="5"/>
        <v>1180.924</v>
      </c>
      <c r="J41" s="3">
        <f t="shared" si="12"/>
        <v>1457.2821281142656</v>
      </c>
      <c r="K41">
        <f t="shared" si="8"/>
        <v>10.869594610748285</v>
      </c>
      <c r="AC41" s="8"/>
    </row>
    <row r="42" spans="1:29" x14ac:dyDescent="0.3">
      <c r="B42">
        <v>19</v>
      </c>
      <c r="C42" s="1" t="s">
        <v>28</v>
      </c>
      <c r="D42">
        <v>1059</v>
      </c>
      <c r="E42" s="3">
        <f t="shared" si="9"/>
        <v>1305.9166666666667</v>
      </c>
      <c r="F42" s="3">
        <f t="shared" si="10"/>
        <v>1305.7916666666667</v>
      </c>
      <c r="G42">
        <v>86.744279323437851</v>
      </c>
      <c r="H42" s="3">
        <f t="shared" si="11"/>
        <v>1220.8297864247329</v>
      </c>
      <c r="I42" s="3">
        <f t="shared" si="5"/>
        <v>1198.922</v>
      </c>
      <c r="J42" s="3">
        <f t="shared" si="12"/>
        <v>1039.9962485501476</v>
      </c>
      <c r="K42">
        <f t="shared" si="8"/>
        <v>1.7944996647641562</v>
      </c>
      <c r="AC42" s="8"/>
    </row>
    <row r="43" spans="1:29" x14ac:dyDescent="0.3">
      <c r="B43">
        <v>20</v>
      </c>
      <c r="C43" s="1" t="s">
        <v>29</v>
      </c>
      <c r="D43">
        <v>1334</v>
      </c>
      <c r="E43" s="3">
        <f t="shared" si="9"/>
        <v>1311.5833333333333</v>
      </c>
      <c r="F43" s="3">
        <f t="shared" si="10"/>
        <v>1308.75</v>
      </c>
      <c r="G43">
        <v>106.71641359151242</v>
      </c>
      <c r="H43" s="3">
        <f t="shared" si="11"/>
        <v>1250.042008632586</v>
      </c>
      <c r="I43" s="3">
        <f t="shared" si="5"/>
        <v>1216.92</v>
      </c>
      <c r="J43" s="3">
        <f t="shared" si="12"/>
        <v>1298.6533802778331</v>
      </c>
      <c r="K43">
        <f t="shared" si="8"/>
        <v>2.6496716433408474</v>
      </c>
      <c r="AC43" s="8"/>
    </row>
    <row r="44" spans="1:29" x14ac:dyDescent="0.3">
      <c r="B44">
        <v>21</v>
      </c>
      <c r="C44" s="1" t="s">
        <v>30</v>
      </c>
      <c r="D44">
        <v>1408</v>
      </c>
      <c r="E44" s="3">
        <f t="shared" si="9"/>
        <v>1313.6666666666667</v>
      </c>
      <c r="F44" s="3">
        <f t="shared" si="10"/>
        <v>1312.625</v>
      </c>
      <c r="G44">
        <v>113.71109846557674</v>
      </c>
      <c r="H44" s="3">
        <f t="shared" si="11"/>
        <v>1238.2256604672918</v>
      </c>
      <c r="I44" s="3">
        <f t="shared" si="5"/>
        <v>1234.9180000000001</v>
      </c>
      <c r="J44" s="3">
        <f t="shared" si="12"/>
        <v>1404.2388229491312</v>
      </c>
      <c r="K44">
        <f t="shared" si="8"/>
        <v>0.26712905190829611</v>
      </c>
      <c r="AC44" s="8"/>
    </row>
    <row r="45" spans="1:29" x14ac:dyDescent="0.3">
      <c r="B45">
        <v>22</v>
      </c>
      <c r="C45" s="1" t="s">
        <v>31</v>
      </c>
      <c r="D45">
        <v>1461</v>
      </c>
      <c r="E45" s="3">
        <f t="shared" si="9"/>
        <v>1324.1666666666667</v>
      </c>
      <c r="F45" s="3">
        <f t="shared" si="10"/>
        <v>1318.9166666666667</v>
      </c>
      <c r="G45">
        <v>114.28909992470949</v>
      </c>
      <c r="H45" s="3">
        <f t="shared" si="11"/>
        <v>1278.3371301046789</v>
      </c>
      <c r="I45" s="3">
        <f t="shared" si="5"/>
        <v>1252.9160000000002</v>
      </c>
      <c r="J45" s="3">
        <f t="shared" si="12"/>
        <v>1431.9464192126732</v>
      </c>
      <c r="K45">
        <f t="shared" si="8"/>
        <v>1.9886092256897219</v>
      </c>
      <c r="AC45" s="8"/>
    </row>
    <row r="46" spans="1:29" x14ac:dyDescent="0.3">
      <c r="B46">
        <v>23</v>
      </c>
      <c r="C46" s="1" t="s">
        <v>32</v>
      </c>
      <c r="D46">
        <v>1094</v>
      </c>
      <c r="E46" s="3">
        <f t="shared" si="9"/>
        <v>1313</v>
      </c>
      <c r="F46" s="3">
        <f t="shared" si="10"/>
        <v>1318.5833333333335</v>
      </c>
      <c r="G46">
        <v>82.261135215044717</v>
      </c>
      <c r="H46" s="3">
        <f t="shared" si="11"/>
        <v>1329.9111386441439</v>
      </c>
      <c r="I46" s="3">
        <f t="shared" si="5"/>
        <v>1270.914</v>
      </c>
      <c r="J46" s="3">
        <f t="shared" si="12"/>
        <v>1045.4682840069333</v>
      </c>
      <c r="K46">
        <f t="shared" si="8"/>
        <v>4.4361714801706267</v>
      </c>
      <c r="AC46" s="8"/>
    </row>
    <row r="47" spans="1:29" x14ac:dyDescent="0.3">
      <c r="B47">
        <v>24</v>
      </c>
      <c r="C47" s="1" t="s">
        <v>33</v>
      </c>
      <c r="D47">
        <v>1227</v>
      </c>
      <c r="E47" s="3">
        <f t="shared" si="9"/>
        <v>1322.25</v>
      </c>
      <c r="F47" s="3">
        <f t="shared" si="10"/>
        <v>1317.625</v>
      </c>
      <c r="G47">
        <v>90.883218796667734</v>
      </c>
      <c r="H47" s="3">
        <f t="shared" si="11"/>
        <v>1350.0842248393037</v>
      </c>
      <c r="I47" s="3">
        <f t="shared" si="5"/>
        <v>1288.912</v>
      </c>
      <c r="J47" s="3">
        <f t="shared" si="12"/>
        <v>1171.4047130565059</v>
      </c>
      <c r="K47">
        <f t="shared" si="8"/>
        <v>4.5309932309286154</v>
      </c>
      <c r="AC47" s="8"/>
    </row>
    <row r="48" spans="1:29" x14ac:dyDescent="0.3">
      <c r="A48" t="s">
        <v>22</v>
      </c>
      <c r="B48">
        <v>25</v>
      </c>
      <c r="C48" s="1" t="s">
        <v>23</v>
      </c>
      <c r="D48">
        <v>1167</v>
      </c>
      <c r="E48" s="3">
        <f t="shared" si="9"/>
        <v>1316.3333333333333</v>
      </c>
      <c r="F48" s="3">
        <f t="shared" si="10"/>
        <v>1319.2916666666665</v>
      </c>
      <c r="G48">
        <v>87.786394328523798</v>
      </c>
      <c r="H48" s="3">
        <f t="shared" si="11"/>
        <v>1329.3631762944101</v>
      </c>
      <c r="I48" s="3">
        <f t="shared" si="5"/>
        <v>1306.9100000000001</v>
      </c>
      <c r="J48" s="3">
        <f t="shared" si="12"/>
        <v>1147.2891661189105</v>
      </c>
      <c r="K48">
        <f t="shared" si="8"/>
        <v>1.6890174705303733</v>
      </c>
      <c r="AC48" s="8"/>
    </row>
    <row r="49" spans="1:29" x14ac:dyDescent="0.3">
      <c r="B49">
        <v>26</v>
      </c>
      <c r="C49" s="1" t="s">
        <v>7</v>
      </c>
      <c r="D49">
        <v>1135</v>
      </c>
      <c r="E49" s="3">
        <f t="shared" si="9"/>
        <v>1322.6666666666667</v>
      </c>
      <c r="F49" s="3">
        <f t="shared" si="10"/>
        <v>1319.5</v>
      </c>
      <c r="G49">
        <v>82.447368537469572</v>
      </c>
      <c r="H49" s="3">
        <f t="shared" si="11"/>
        <v>1376.6358103766288</v>
      </c>
      <c r="I49" s="3">
        <f t="shared" si="5"/>
        <v>1324.9080000000001</v>
      </c>
      <c r="J49" s="3">
        <f t="shared" si="12"/>
        <v>1092.3517815424175</v>
      </c>
      <c r="K49">
        <f t="shared" si="8"/>
        <v>3.7575522870116758</v>
      </c>
      <c r="AC49" s="8"/>
    </row>
    <row r="50" spans="1:29" x14ac:dyDescent="0.3">
      <c r="B50">
        <v>27</v>
      </c>
      <c r="C50" s="1" t="s">
        <v>24</v>
      </c>
      <c r="D50">
        <v>1271</v>
      </c>
      <c r="E50" s="3">
        <f t="shared" si="9"/>
        <v>1336.1666666666667</v>
      </c>
      <c r="F50" s="3">
        <f t="shared" si="10"/>
        <v>1329.4166666666667</v>
      </c>
      <c r="G50">
        <v>93.516180212143183</v>
      </c>
      <c r="H50" s="3">
        <f t="shared" si="11"/>
        <v>1359.1230919790703</v>
      </c>
      <c r="I50" s="3">
        <f t="shared" si="5"/>
        <v>1342.9059999999999</v>
      </c>
      <c r="J50" s="3">
        <f t="shared" si="12"/>
        <v>1255.8343950396834</v>
      </c>
      <c r="K50">
        <f t="shared" si="8"/>
        <v>1.193202593258585</v>
      </c>
      <c r="AC50" s="8"/>
    </row>
    <row r="51" spans="1:29" x14ac:dyDescent="0.3">
      <c r="B51">
        <v>28</v>
      </c>
      <c r="C51" s="1" t="s">
        <v>25</v>
      </c>
      <c r="D51">
        <v>1603</v>
      </c>
      <c r="E51" s="3">
        <f t="shared" si="9"/>
        <v>1347.3333333333333</v>
      </c>
      <c r="F51" s="3">
        <f t="shared" si="10"/>
        <v>1341.75</v>
      </c>
      <c r="G51">
        <v>113.44997855898517</v>
      </c>
      <c r="H51" s="3">
        <f t="shared" si="11"/>
        <v>1412.9575169258976</v>
      </c>
      <c r="I51" s="3">
        <f t="shared" si="5"/>
        <v>1360.904</v>
      </c>
      <c r="J51" s="3">
        <f t="shared" si="12"/>
        <v>1543.9452962083715</v>
      </c>
      <c r="K51">
        <f t="shared" si="8"/>
        <v>3.6840114654790099</v>
      </c>
      <c r="AB51" s="6"/>
    </row>
    <row r="52" spans="1:29" x14ac:dyDescent="0.3">
      <c r="B52">
        <v>29</v>
      </c>
      <c r="C52" s="1" t="s">
        <v>26</v>
      </c>
      <c r="D52">
        <v>1362</v>
      </c>
      <c r="E52" s="3">
        <f t="shared" si="9"/>
        <v>1353.0833333333333</v>
      </c>
      <c r="F52" s="3">
        <f t="shared" si="10"/>
        <v>1350.2083333333333</v>
      </c>
      <c r="G52">
        <v>104.79297754004877</v>
      </c>
      <c r="H52" s="3">
        <f t="shared" si="11"/>
        <v>1299.7054115381768</v>
      </c>
      <c r="I52" s="3">
        <f t="shared" si="5"/>
        <v>1378.902</v>
      </c>
      <c r="J52" s="3">
        <f t="shared" si="12"/>
        <v>1444.9924631592833</v>
      </c>
      <c r="K52">
        <f t="shared" si="8"/>
        <v>6.0934260763056729</v>
      </c>
    </row>
    <row r="53" spans="1:29" x14ac:dyDescent="0.3">
      <c r="B53">
        <v>30</v>
      </c>
      <c r="C53" s="1" t="s">
        <v>27</v>
      </c>
      <c r="D53">
        <v>1746</v>
      </c>
      <c r="E53" s="3">
        <f t="shared" si="9"/>
        <v>1348.0833333333333</v>
      </c>
      <c r="F53" s="3">
        <f t="shared" si="10"/>
        <v>1350.5833333333333</v>
      </c>
      <c r="G53">
        <v>123.4018555058806</v>
      </c>
      <c r="H53" s="3">
        <f t="shared" si="11"/>
        <v>1414.889583987492</v>
      </c>
      <c r="I53" s="3">
        <f t="shared" si="5"/>
        <v>1396.9</v>
      </c>
      <c r="J53" s="3">
        <f t="shared" si="12"/>
        <v>1723.8005195616463</v>
      </c>
      <c r="K53">
        <f t="shared" si="8"/>
        <v>1.2714479059767299</v>
      </c>
    </row>
    <row r="54" spans="1:29" x14ac:dyDescent="0.3">
      <c r="B54">
        <v>31</v>
      </c>
      <c r="C54" s="1" t="s">
        <v>28</v>
      </c>
      <c r="D54">
        <v>988</v>
      </c>
      <c r="F54" s="3"/>
      <c r="G54">
        <v>86.744279323437851</v>
      </c>
      <c r="H54" s="3">
        <f t="shared" si="11"/>
        <v>1138.9800084869084</v>
      </c>
      <c r="I54" s="3">
        <f t="shared" si="5"/>
        <v>1414.8980000000001</v>
      </c>
      <c r="J54" s="3">
        <f t="shared" si="12"/>
        <v>1227.3430732617358</v>
      </c>
      <c r="K54">
        <f t="shared" si="8"/>
        <v>24.225007415155442</v>
      </c>
    </row>
    <row r="55" spans="1:29" x14ac:dyDescent="0.3">
      <c r="B55">
        <v>32</v>
      </c>
      <c r="C55" s="1" t="s">
        <v>29</v>
      </c>
      <c r="D55">
        <v>1410</v>
      </c>
      <c r="G55">
        <v>106.71641359151242</v>
      </c>
      <c r="H55" s="3">
        <f t="shared" si="11"/>
        <v>1321.258794731594</v>
      </c>
      <c r="I55" s="3">
        <f t="shared" si="5"/>
        <v>1432.8960000000002</v>
      </c>
      <c r="J55" s="3">
        <f t="shared" si="12"/>
        <v>1529.1352216962382</v>
      </c>
      <c r="K55">
        <f t="shared" si="8"/>
        <v>8.4493065032793044</v>
      </c>
    </row>
    <row r="56" spans="1:29" x14ac:dyDescent="0.3">
      <c r="B56">
        <v>33</v>
      </c>
      <c r="C56" s="1" t="s">
        <v>30</v>
      </c>
      <c r="D56">
        <v>1570</v>
      </c>
      <c r="G56">
        <v>113.71109846557674</v>
      </c>
      <c r="H56" s="3">
        <f t="shared" si="11"/>
        <v>1380.6919651517387</v>
      </c>
      <c r="I56" s="3">
        <f t="shared" si="5"/>
        <v>1450.8940000000002</v>
      </c>
      <c r="J56" s="3">
        <f t="shared" si="12"/>
        <v>1649.8275049711453</v>
      </c>
      <c r="K56">
        <f t="shared" si="8"/>
        <v>5.0845544567608503</v>
      </c>
    </row>
    <row r="57" spans="1:29" x14ac:dyDescent="0.3">
      <c r="B57">
        <v>34</v>
      </c>
      <c r="C57" s="1" t="s">
        <v>31</v>
      </c>
      <c r="D57">
        <v>1595</v>
      </c>
      <c r="G57">
        <v>114.28909992470949</v>
      </c>
      <c r="H57" s="3">
        <f t="shared" si="11"/>
        <v>1395.583656753568</v>
      </c>
      <c r="I57" s="3">
        <f t="shared" si="5"/>
        <v>1468.8920000000001</v>
      </c>
      <c r="J57" s="3">
        <f t="shared" si="12"/>
        <v>1678.7834456660637</v>
      </c>
      <c r="K57">
        <f t="shared" si="8"/>
        <v>5.2528806060228019</v>
      </c>
    </row>
    <row r="58" spans="1:29" x14ac:dyDescent="0.3">
      <c r="B58">
        <v>35</v>
      </c>
      <c r="C58" s="1" t="s">
        <v>32</v>
      </c>
      <c r="D58">
        <v>1163</v>
      </c>
      <c r="G58">
        <v>82.261135215044717</v>
      </c>
      <c r="H58" s="3">
        <f t="shared" si="11"/>
        <v>1413.7903603685002</v>
      </c>
      <c r="I58" s="3">
        <f t="shared" si="5"/>
        <v>1486.89</v>
      </c>
      <c r="J58" s="3">
        <f t="shared" si="12"/>
        <v>1223.1325933989785</v>
      </c>
      <c r="K58">
        <f t="shared" si="8"/>
        <v>5.1704723472896426</v>
      </c>
    </row>
    <row r="59" spans="1:29" x14ac:dyDescent="0.3">
      <c r="B59">
        <v>36</v>
      </c>
      <c r="C59" s="1" t="s">
        <v>33</v>
      </c>
      <c r="D59">
        <v>1167</v>
      </c>
      <c r="G59">
        <v>90.883218796667734</v>
      </c>
      <c r="H59" s="3">
        <f t="shared" si="11"/>
        <v>1284.0654363386043</v>
      </c>
      <c r="I59" s="3">
        <f t="shared" si="5"/>
        <v>1504.8879999999999</v>
      </c>
      <c r="J59" s="3">
        <f t="shared" si="12"/>
        <v>1367.6906536847971</v>
      </c>
      <c r="K59">
        <f t="shared" si="8"/>
        <v>17.197142560822375</v>
      </c>
    </row>
    <row r="60" spans="1:29" x14ac:dyDescent="0.3">
      <c r="A60" t="s">
        <v>39</v>
      </c>
      <c r="B60">
        <v>37</v>
      </c>
      <c r="C60" s="1" t="s">
        <v>23</v>
      </c>
      <c r="G60">
        <v>87.786394328523798</v>
      </c>
      <c r="I60" s="3">
        <f t="shared" si="5"/>
        <v>1522.886</v>
      </c>
      <c r="J60" s="3">
        <f t="shared" si="12"/>
        <v>1336.8867091338827</v>
      </c>
    </row>
    <row r="61" spans="1:29" x14ac:dyDescent="0.3">
      <c r="B61">
        <v>38</v>
      </c>
      <c r="C61" s="1" t="s">
        <v>7</v>
      </c>
      <c r="G61">
        <v>82.447368537469572</v>
      </c>
      <c r="I61" s="3">
        <f t="shared" si="5"/>
        <v>1540.884</v>
      </c>
      <c r="J61" s="3">
        <f t="shared" si="12"/>
        <v>1270.4183102149027</v>
      </c>
    </row>
    <row r="62" spans="1:29" x14ac:dyDescent="0.3">
      <c r="B62">
        <v>39</v>
      </c>
      <c r="C62" s="1" t="s">
        <v>24</v>
      </c>
      <c r="G62">
        <v>93.516180212143183</v>
      </c>
      <c r="I62" s="3">
        <f t="shared" si="5"/>
        <v>1558.8820000000001</v>
      </c>
      <c r="J62" s="3">
        <f t="shared" si="12"/>
        <v>1457.8069004146621</v>
      </c>
    </row>
    <row r="63" spans="1:29" x14ac:dyDescent="0.3">
      <c r="B63">
        <v>40</v>
      </c>
      <c r="C63" s="1" t="s">
        <v>25</v>
      </c>
      <c r="G63">
        <v>113.44997855898517</v>
      </c>
      <c r="I63" s="3">
        <f t="shared" si="5"/>
        <v>1576.88</v>
      </c>
      <c r="J63" s="3">
        <f t="shared" si="12"/>
        <v>1788.9700219009255</v>
      </c>
    </row>
    <row r="64" spans="1:29" x14ac:dyDescent="0.3">
      <c r="B64">
        <v>41</v>
      </c>
      <c r="C64" s="1" t="s">
        <v>26</v>
      </c>
      <c r="G64">
        <v>104.79297754004877</v>
      </c>
      <c r="I64" s="3">
        <f t="shared" si="5"/>
        <v>1594.8780000000002</v>
      </c>
      <c r="J64" s="3">
        <f t="shared" si="12"/>
        <v>1671.3201443311791</v>
      </c>
    </row>
    <row r="65" spans="2:11" x14ac:dyDescent="0.3">
      <c r="B65">
        <v>42</v>
      </c>
      <c r="C65" s="1" t="s">
        <v>27</v>
      </c>
      <c r="G65">
        <v>123.4018555058806</v>
      </c>
      <c r="I65" s="3">
        <f t="shared" si="5"/>
        <v>1612.8760000000002</v>
      </c>
      <c r="J65" s="3">
        <f t="shared" si="12"/>
        <v>1990.3189110090273</v>
      </c>
    </row>
    <row r="66" spans="2:11" x14ac:dyDescent="0.3">
      <c r="B66">
        <v>43</v>
      </c>
      <c r="C66" s="1" t="s">
        <v>28</v>
      </c>
      <c r="G66">
        <v>86.744279323437851</v>
      </c>
      <c r="I66" s="3">
        <f t="shared" si="5"/>
        <v>1630.8740000000003</v>
      </c>
      <c r="J66" s="3">
        <f t="shared" si="12"/>
        <v>1414.6898979733242</v>
      </c>
    </row>
    <row r="67" spans="2:11" x14ac:dyDescent="0.3">
      <c r="B67">
        <v>44</v>
      </c>
      <c r="C67" s="1" t="s">
        <v>29</v>
      </c>
      <c r="G67">
        <v>106.71641359151242</v>
      </c>
      <c r="I67" s="3">
        <f t="shared" si="5"/>
        <v>1648.8720000000001</v>
      </c>
      <c r="J67" s="3">
        <f t="shared" si="12"/>
        <v>1759.6170631146429</v>
      </c>
    </row>
    <row r="68" spans="2:11" x14ac:dyDescent="0.3">
      <c r="B68">
        <v>45</v>
      </c>
      <c r="C68" s="1" t="s">
        <v>30</v>
      </c>
      <c r="G68">
        <v>113.71109846557674</v>
      </c>
      <c r="I68" s="3">
        <f t="shared" si="5"/>
        <v>1666.8700000000001</v>
      </c>
      <c r="J68" s="3">
        <f t="shared" si="12"/>
        <v>1895.416186993159</v>
      </c>
    </row>
    <row r="69" spans="2:11" x14ac:dyDescent="0.3">
      <c r="B69">
        <v>46</v>
      </c>
      <c r="C69" s="1" t="s">
        <v>31</v>
      </c>
      <c r="G69">
        <v>114.28909992470949</v>
      </c>
      <c r="I69" s="3">
        <f t="shared" si="5"/>
        <v>1684.8679999999999</v>
      </c>
      <c r="J69" s="3">
        <f t="shared" si="12"/>
        <v>1925.6204721194545</v>
      </c>
    </row>
    <row r="70" spans="2:11" x14ac:dyDescent="0.3">
      <c r="B70">
        <v>47</v>
      </c>
      <c r="C70" s="1" t="s">
        <v>32</v>
      </c>
      <c r="G70">
        <v>82.261135215044717</v>
      </c>
      <c r="I70" s="3">
        <f t="shared" si="5"/>
        <v>1702.866</v>
      </c>
      <c r="J70" s="3">
        <f t="shared" si="12"/>
        <v>1400.7969027910233</v>
      </c>
    </row>
    <row r="71" spans="2:11" x14ac:dyDescent="0.3">
      <c r="B71">
        <v>48</v>
      </c>
      <c r="C71" s="1" t="s">
        <v>33</v>
      </c>
      <c r="G71">
        <v>90.883218796667734</v>
      </c>
      <c r="I71" s="3">
        <f>17.998*B71+856.96</f>
        <v>1720.864</v>
      </c>
      <c r="J71" s="3">
        <f t="shared" si="12"/>
        <v>1563.9765943130883</v>
      </c>
    </row>
    <row r="72" spans="2:11" x14ac:dyDescent="0.3">
      <c r="J72" s="2" t="s">
        <v>48</v>
      </c>
      <c r="K72">
        <f>AVERAGE(K24:K59)</f>
        <v>13.612647484312312</v>
      </c>
    </row>
  </sheetData>
  <phoneticPr fontId="3" type="noConversion"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9400-8486-4DEE-862B-43296057DF98}">
  <dimension ref="A1:K37"/>
  <sheetViews>
    <sheetView topLeftCell="A28" workbookViewId="0">
      <selection activeCell="J37" activeCellId="1" sqref="B1:C37 J1:J37"/>
    </sheetView>
  </sheetViews>
  <sheetFormatPr defaultRowHeight="14.4" x14ac:dyDescent="0.3"/>
  <sheetData>
    <row r="1" spans="1:11" x14ac:dyDescent="0.3">
      <c r="A1" s="2" t="s">
        <v>45</v>
      </c>
      <c r="B1" s="2" t="s">
        <v>18</v>
      </c>
      <c r="C1" s="2" t="s">
        <v>54</v>
      </c>
      <c r="D1" s="2" t="s">
        <v>52</v>
      </c>
      <c r="E1" s="2" t="s">
        <v>51</v>
      </c>
      <c r="F1" s="2" t="s">
        <v>49</v>
      </c>
      <c r="G1" s="6" t="s">
        <v>53</v>
      </c>
      <c r="H1" s="6" t="s">
        <v>44</v>
      </c>
      <c r="I1" s="6" t="s">
        <v>36</v>
      </c>
      <c r="J1" s="6" t="s">
        <v>46</v>
      </c>
      <c r="K1" s="2" t="s">
        <v>50</v>
      </c>
    </row>
    <row r="2" spans="1:11" x14ac:dyDescent="0.3">
      <c r="A2">
        <v>1</v>
      </c>
      <c r="B2" s="1">
        <v>44652</v>
      </c>
      <c r="C2">
        <v>512</v>
      </c>
      <c r="G2" s="3">
        <v>87.786394328523798</v>
      </c>
      <c r="H2" s="3">
        <f>C2/G2*100</f>
        <v>583.23388711459984</v>
      </c>
      <c r="I2" s="3">
        <f t="shared" ref="I2:I37" si="0">17.998*A2+856.96</f>
        <v>874.95800000000008</v>
      </c>
      <c r="J2" s="3">
        <f>I2*G2/100</f>
        <v>768.09408008896526</v>
      </c>
      <c r="K2" s="3">
        <f>ABS((C2-J2)/C2)*100</f>
        <v>50.01837501737603</v>
      </c>
    </row>
    <row r="3" spans="1:11" x14ac:dyDescent="0.3">
      <c r="A3">
        <v>2</v>
      </c>
      <c r="B3" s="1">
        <v>44682</v>
      </c>
      <c r="C3">
        <v>645</v>
      </c>
      <c r="G3" s="3">
        <v>82.447368537469572</v>
      </c>
      <c r="H3" s="3">
        <f t="shared" ref="H3:H37" si="1">C3/G3*100</f>
        <v>782.3172666898023</v>
      </c>
      <c r="I3" s="3">
        <f t="shared" si="0"/>
        <v>892.95600000000002</v>
      </c>
      <c r="J3" s="3">
        <f t="shared" ref="J3:J37" si="2">I3*G3/100</f>
        <v>736.21872419744682</v>
      </c>
      <c r="K3" s="3">
        <f t="shared" ref="K3:K37" si="3">ABS((C3-J3)/C3)*100</f>
        <v>14.142437860069274</v>
      </c>
    </row>
    <row r="4" spans="1:11" x14ac:dyDescent="0.3">
      <c r="A4">
        <v>3</v>
      </c>
      <c r="B4" s="1">
        <v>44713</v>
      </c>
      <c r="C4">
        <v>741</v>
      </c>
      <c r="G4" s="3">
        <v>93.516180212143183</v>
      </c>
      <c r="H4" s="3">
        <f t="shared" si="1"/>
        <v>792.37624795947374</v>
      </c>
      <c r="I4" s="3">
        <f t="shared" si="0"/>
        <v>910.95400000000006</v>
      </c>
      <c r="J4" s="3">
        <f t="shared" si="2"/>
        <v>851.88938428972688</v>
      </c>
      <c r="K4" s="3">
        <f t="shared" si="3"/>
        <v>14.964829188897014</v>
      </c>
    </row>
    <row r="5" spans="1:11" x14ac:dyDescent="0.3">
      <c r="A5">
        <v>4</v>
      </c>
      <c r="B5" s="1">
        <v>44743</v>
      </c>
      <c r="C5">
        <v>589</v>
      </c>
      <c r="G5" s="3">
        <v>113.44997855898517</v>
      </c>
      <c r="H5" s="3">
        <f t="shared" si="1"/>
        <v>519.17153928219193</v>
      </c>
      <c r="I5" s="3">
        <f t="shared" si="0"/>
        <v>928.952</v>
      </c>
      <c r="J5" s="3">
        <f t="shared" si="2"/>
        <v>1053.8958448232638</v>
      </c>
      <c r="K5" s="3">
        <f t="shared" si="3"/>
        <v>78.929685029416603</v>
      </c>
    </row>
    <row r="6" spans="1:11" x14ac:dyDescent="0.3">
      <c r="A6">
        <v>5</v>
      </c>
      <c r="B6" s="1">
        <v>44774</v>
      </c>
      <c r="C6">
        <v>789</v>
      </c>
      <c r="G6" s="3">
        <v>104.79297754004877</v>
      </c>
      <c r="H6" s="3">
        <f t="shared" si="1"/>
        <v>752.91304677211565</v>
      </c>
      <c r="I6" s="3">
        <f t="shared" si="0"/>
        <v>946.95</v>
      </c>
      <c r="J6" s="3">
        <f t="shared" si="2"/>
        <v>992.33710081549191</v>
      </c>
      <c r="K6" s="3">
        <f t="shared" si="3"/>
        <v>25.771495667362725</v>
      </c>
    </row>
    <row r="7" spans="1:11" x14ac:dyDescent="0.3">
      <c r="A7">
        <v>6</v>
      </c>
      <c r="B7" s="1">
        <v>44805</v>
      </c>
      <c r="C7">
        <v>790</v>
      </c>
      <c r="D7" s="3">
        <f>AVERAGE(C2:C13)</f>
        <v>913.41666666666663</v>
      </c>
      <c r="G7" s="3">
        <v>123.4018555058806</v>
      </c>
      <c r="H7" s="3">
        <f t="shared" si="1"/>
        <v>640.18486331621909</v>
      </c>
      <c r="I7" s="3">
        <f t="shared" si="0"/>
        <v>964.94800000000009</v>
      </c>
      <c r="J7" s="3">
        <f t="shared" si="2"/>
        <v>1190.7637366668851</v>
      </c>
      <c r="K7" s="3">
        <f t="shared" si="3"/>
        <v>50.729586919858875</v>
      </c>
    </row>
    <row r="8" spans="1:11" x14ac:dyDescent="0.3">
      <c r="A8">
        <v>7</v>
      </c>
      <c r="B8" s="1">
        <v>44835</v>
      </c>
      <c r="C8">
        <v>922</v>
      </c>
      <c r="D8" s="3">
        <f t="shared" ref="D8:D31" si="4">AVERAGE(C3:C14)</f>
        <v>967.75</v>
      </c>
      <c r="E8" s="3">
        <f>AVERAGE(D7:D8)</f>
        <v>940.58333333333326</v>
      </c>
      <c r="F8" s="3">
        <f>((C8/E8)*100)/100</f>
        <v>0.98024275715424836</v>
      </c>
      <c r="G8" s="3">
        <v>86.744279323437851</v>
      </c>
      <c r="H8" s="3">
        <f t="shared" si="1"/>
        <v>1062.8942994179449</v>
      </c>
      <c r="I8" s="3">
        <f t="shared" si="0"/>
        <v>982.94600000000003</v>
      </c>
      <c r="J8" s="3">
        <f t="shared" si="2"/>
        <v>852.64942383855941</v>
      </c>
      <c r="K8" s="3">
        <f t="shared" si="3"/>
        <v>7.5217544643644887</v>
      </c>
    </row>
    <row r="9" spans="1:11" x14ac:dyDescent="0.3">
      <c r="A9">
        <v>8</v>
      </c>
      <c r="B9" s="1">
        <v>44866</v>
      </c>
      <c r="C9">
        <v>1167</v>
      </c>
      <c r="D9" s="3">
        <f t="shared" si="4"/>
        <v>1002.9166666666666</v>
      </c>
      <c r="E9" s="3">
        <f t="shared" ref="E9:E31" si="5">AVERAGE(D8:D9)</f>
        <v>985.33333333333326</v>
      </c>
      <c r="F9" s="3">
        <f t="shared" ref="F9:F31" si="6">((C9/E9)*100)/100</f>
        <v>1.1843707713125846</v>
      </c>
      <c r="G9" s="3">
        <v>106.71641359151242</v>
      </c>
      <c r="H9" s="3">
        <f t="shared" si="1"/>
        <v>1093.552491809766</v>
      </c>
      <c r="I9" s="3">
        <f t="shared" si="0"/>
        <v>1000.9440000000001</v>
      </c>
      <c r="J9" s="3">
        <f t="shared" si="2"/>
        <v>1068.1715388594282</v>
      </c>
      <c r="K9" s="3">
        <f t="shared" si="3"/>
        <v>8.468591357375475</v>
      </c>
    </row>
    <row r="10" spans="1:11" x14ac:dyDescent="0.3">
      <c r="A10">
        <v>9</v>
      </c>
      <c r="B10" s="1">
        <v>44896</v>
      </c>
      <c r="C10">
        <v>1306</v>
      </c>
      <c r="D10" s="3">
        <f t="shared" si="4"/>
        <v>1045</v>
      </c>
      <c r="E10" s="3">
        <f t="shared" si="5"/>
        <v>1023.9583333333333</v>
      </c>
      <c r="F10" s="3">
        <f t="shared" si="6"/>
        <v>1.2754425228891151</v>
      </c>
      <c r="G10" s="3">
        <v>113.71109846557674</v>
      </c>
      <c r="H10" s="3">
        <f t="shared" si="1"/>
        <v>1148.5246538141216</v>
      </c>
      <c r="I10" s="3">
        <f t="shared" si="0"/>
        <v>1018.942</v>
      </c>
      <c r="J10" s="3">
        <f t="shared" si="2"/>
        <v>1158.6501409271168</v>
      </c>
      <c r="K10" s="3">
        <f t="shared" si="3"/>
        <v>11.282531322579111</v>
      </c>
    </row>
    <row r="11" spans="1:11" x14ac:dyDescent="0.3">
      <c r="A11">
        <v>10</v>
      </c>
      <c r="B11" s="1">
        <v>44927</v>
      </c>
      <c r="C11">
        <v>1355</v>
      </c>
      <c r="D11" s="3">
        <f t="shared" si="4"/>
        <v>1119</v>
      </c>
      <c r="E11" s="3">
        <f t="shared" si="5"/>
        <v>1082</v>
      </c>
      <c r="F11" s="3">
        <f t="shared" si="6"/>
        <v>1.2523105360443623</v>
      </c>
      <c r="G11" s="3">
        <v>114.28909992470949</v>
      </c>
      <c r="H11" s="3">
        <f t="shared" si="1"/>
        <v>1185.5898776809308</v>
      </c>
      <c r="I11" s="3">
        <f t="shared" si="0"/>
        <v>1036.94</v>
      </c>
      <c r="J11" s="3">
        <f t="shared" si="2"/>
        <v>1185.1093927592826</v>
      </c>
      <c r="K11" s="3">
        <f t="shared" si="3"/>
        <v>12.538052194886893</v>
      </c>
    </row>
    <row r="12" spans="1:11" x14ac:dyDescent="0.3">
      <c r="A12">
        <v>11</v>
      </c>
      <c r="B12" s="1">
        <v>44958</v>
      </c>
      <c r="C12">
        <v>998</v>
      </c>
      <c r="D12" s="3">
        <f t="shared" si="4"/>
        <v>1177.9166666666667</v>
      </c>
      <c r="E12" s="3">
        <f t="shared" si="5"/>
        <v>1148.4583333333335</v>
      </c>
      <c r="F12" s="3">
        <f t="shared" si="6"/>
        <v>0.86899103871131578</v>
      </c>
      <c r="G12" s="3">
        <v>82.261135215044717</v>
      </c>
      <c r="H12" s="3">
        <f t="shared" si="1"/>
        <v>1213.2096127667785</v>
      </c>
      <c r="I12" s="3">
        <f t="shared" si="0"/>
        <v>1054.9380000000001</v>
      </c>
      <c r="J12" s="3">
        <f t="shared" si="2"/>
        <v>867.8039746148886</v>
      </c>
      <c r="K12" s="3">
        <f t="shared" si="3"/>
        <v>13.045693926363869</v>
      </c>
    </row>
    <row r="13" spans="1:11" x14ac:dyDescent="0.3">
      <c r="A13">
        <v>12</v>
      </c>
      <c r="B13" s="1">
        <v>44986</v>
      </c>
      <c r="C13">
        <v>1147</v>
      </c>
      <c r="D13" s="3">
        <f t="shared" si="4"/>
        <v>1248.3333333333333</v>
      </c>
      <c r="E13" s="3">
        <f t="shared" si="5"/>
        <v>1213.125</v>
      </c>
      <c r="F13" s="3">
        <f t="shared" si="6"/>
        <v>0.94549201442555386</v>
      </c>
      <c r="G13" s="3">
        <v>90.883218796667734</v>
      </c>
      <c r="H13" s="3">
        <f t="shared" si="1"/>
        <v>1262.059173505038</v>
      </c>
      <c r="I13" s="3">
        <f t="shared" si="0"/>
        <v>1072.9360000000001</v>
      </c>
      <c r="J13" s="3">
        <f t="shared" si="2"/>
        <v>975.11877242821504</v>
      </c>
      <c r="K13" s="3">
        <f t="shared" si="3"/>
        <v>14.98528575168134</v>
      </c>
    </row>
    <row r="14" spans="1:11" x14ac:dyDescent="0.3">
      <c r="A14">
        <v>13</v>
      </c>
      <c r="B14" s="1">
        <v>45017</v>
      </c>
      <c r="C14">
        <v>1164</v>
      </c>
      <c r="D14" s="3">
        <f t="shared" si="4"/>
        <v>1259.75</v>
      </c>
      <c r="E14" s="3">
        <f t="shared" si="5"/>
        <v>1254.0416666666665</v>
      </c>
      <c r="F14" s="3">
        <f t="shared" si="6"/>
        <v>0.92819882380303698</v>
      </c>
      <c r="G14" s="3">
        <v>87.786394328523798</v>
      </c>
      <c r="H14" s="3">
        <f t="shared" si="1"/>
        <v>1325.945790237098</v>
      </c>
      <c r="I14" s="3">
        <f t="shared" si="0"/>
        <v>1090.934</v>
      </c>
      <c r="J14" s="3">
        <f t="shared" si="2"/>
        <v>957.69162310393779</v>
      </c>
      <c r="K14" s="3">
        <f t="shared" si="3"/>
        <v>17.724087362204656</v>
      </c>
    </row>
    <row r="15" spans="1:11" x14ac:dyDescent="0.3">
      <c r="A15">
        <v>14</v>
      </c>
      <c r="B15" s="1">
        <v>45047</v>
      </c>
      <c r="C15">
        <v>1067</v>
      </c>
      <c r="D15" s="3">
        <f t="shared" si="4"/>
        <v>1273.6666666666667</v>
      </c>
      <c r="E15" s="3">
        <f t="shared" si="5"/>
        <v>1266.7083333333335</v>
      </c>
      <c r="F15" s="3">
        <f t="shared" si="6"/>
        <v>0.84234071247656317</v>
      </c>
      <c r="G15" s="3">
        <v>82.447368537469572</v>
      </c>
      <c r="H15" s="3">
        <f t="shared" si="1"/>
        <v>1294.1589512527428</v>
      </c>
      <c r="I15" s="3">
        <f t="shared" si="0"/>
        <v>1108.932</v>
      </c>
      <c r="J15" s="3">
        <f t="shared" si="2"/>
        <v>914.28525286993215</v>
      </c>
      <c r="K15" s="3">
        <f t="shared" si="3"/>
        <v>14.312534876295018</v>
      </c>
    </row>
    <row r="16" spans="1:11" x14ac:dyDescent="0.3">
      <c r="A16">
        <v>15</v>
      </c>
      <c r="B16" s="1">
        <v>45078</v>
      </c>
      <c r="C16">
        <v>1246</v>
      </c>
      <c r="D16" s="3">
        <f t="shared" si="4"/>
        <v>1282.1666666666667</v>
      </c>
      <c r="E16" s="3">
        <f t="shared" si="5"/>
        <v>1277.9166666666667</v>
      </c>
      <c r="F16" s="3">
        <f t="shared" si="6"/>
        <v>0.97502445386371039</v>
      </c>
      <c r="G16" s="3">
        <v>93.516180212143183</v>
      </c>
      <c r="H16" s="3">
        <f t="shared" si="1"/>
        <v>1332.3897502800328</v>
      </c>
      <c r="I16" s="3">
        <f t="shared" si="0"/>
        <v>1126.93</v>
      </c>
      <c r="J16" s="3">
        <f t="shared" si="2"/>
        <v>1053.8618896647051</v>
      </c>
      <c r="K16" s="3">
        <f t="shared" si="3"/>
        <v>15.420394087904885</v>
      </c>
    </row>
    <row r="17" spans="1:11" x14ac:dyDescent="0.3">
      <c r="A17">
        <v>16</v>
      </c>
      <c r="B17" s="1">
        <v>45108</v>
      </c>
      <c r="C17">
        <v>1477</v>
      </c>
      <c r="D17" s="3">
        <f t="shared" si="4"/>
        <v>1291</v>
      </c>
      <c r="E17" s="3">
        <f t="shared" si="5"/>
        <v>1286.5833333333335</v>
      </c>
      <c r="F17" s="3">
        <f t="shared" si="6"/>
        <v>1.1480018135889629</v>
      </c>
      <c r="G17" s="3">
        <v>113.44997855898517</v>
      </c>
      <c r="H17" s="3">
        <f t="shared" si="1"/>
        <v>1301.8953540234254</v>
      </c>
      <c r="I17" s="3">
        <f t="shared" si="0"/>
        <v>1144.9280000000001</v>
      </c>
      <c r="J17" s="3">
        <f t="shared" si="2"/>
        <v>1298.9205705158179</v>
      </c>
      <c r="K17" s="3">
        <f t="shared" si="3"/>
        <v>12.056833411251329</v>
      </c>
    </row>
    <row r="18" spans="1:11" x14ac:dyDescent="0.3">
      <c r="A18">
        <v>17</v>
      </c>
      <c r="B18" s="1">
        <v>45139</v>
      </c>
      <c r="C18">
        <v>1496</v>
      </c>
      <c r="D18" s="3">
        <f t="shared" si="4"/>
        <v>1299</v>
      </c>
      <c r="E18" s="3">
        <f t="shared" si="5"/>
        <v>1295</v>
      </c>
      <c r="F18" s="3">
        <f t="shared" si="6"/>
        <v>1.1552123552123552</v>
      </c>
      <c r="G18" s="3">
        <v>104.79297754004877</v>
      </c>
      <c r="H18" s="3">
        <f t="shared" si="1"/>
        <v>1427.5765753752662</v>
      </c>
      <c r="I18" s="3">
        <f t="shared" si="0"/>
        <v>1162.9259999999999</v>
      </c>
      <c r="J18" s="3">
        <f t="shared" si="2"/>
        <v>1218.6647819873874</v>
      </c>
      <c r="K18" s="3">
        <f t="shared" si="3"/>
        <v>18.538450401912606</v>
      </c>
    </row>
    <row r="19" spans="1:11" x14ac:dyDescent="0.3">
      <c r="A19">
        <v>18</v>
      </c>
      <c r="B19" s="1">
        <v>45170</v>
      </c>
      <c r="C19">
        <v>1635</v>
      </c>
      <c r="D19" s="3">
        <f t="shared" si="4"/>
        <v>1305.6666666666667</v>
      </c>
      <c r="E19" s="3">
        <f t="shared" si="5"/>
        <v>1302.3333333333335</v>
      </c>
      <c r="F19" s="3">
        <f t="shared" si="6"/>
        <v>1.2554389557205015</v>
      </c>
      <c r="G19" s="3">
        <v>123.4018555058806</v>
      </c>
      <c r="H19" s="3">
        <f t="shared" si="1"/>
        <v>1324.9395588886309</v>
      </c>
      <c r="I19" s="3">
        <f t="shared" si="0"/>
        <v>1180.924</v>
      </c>
      <c r="J19" s="3">
        <f t="shared" si="2"/>
        <v>1457.2821281142656</v>
      </c>
      <c r="K19" s="3">
        <f t="shared" si="3"/>
        <v>10.869594610748285</v>
      </c>
    </row>
    <row r="20" spans="1:11" x14ac:dyDescent="0.3">
      <c r="A20">
        <v>19</v>
      </c>
      <c r="B20" s="1">
        <v>45200</v>
      </c>
      <c r="C20">
        <v>1059</v>
      </c>
      <c r="D20" s="3">
        <f t="shared" si="4"/>
        <v>1305.9166666666667</v>
      </c>
      <c r="E20" s="3">
        <f t="shared" si="5"/>
        <v>1305.7916666666667</v>
      </c>
      <c r="F20" s="3">
        <f t="shared" si="6"/>
        <v>0.81100226554772004</v>
      </c>
      <c r="G20" s="3">
        <v>86.744279323437851</v>
      </c>
      <c r="H20" s="3">
        <f t="shared" si="1"/>
        <v>1220.8297864247329</v>
      </c>
      <c r="I20" s="3">
        <f t="shared" si="0"/>
        <v>1198.922</v>
      </c>
      <c r="J20" s="3">
        <f t="shared" si="2"/>
        <v>1039.9962485501476</v>
      </c>
      <c r="K20" s="3">
        <f t="shared" si="3"/>
        <v>1.7944996647641562</v>
      </c>
    </row>
    <row r="21" spans="1:11" x14ac:dyDescent="0.3">
      <c r="A21">
        <v>20</v>
      </c>
      <c r="B21" s="1">
        <v>45231</v>
      </c>
      <c r="C21">
        <v>1334</v>
      </c>
      <c r="D21" s="3">
        <f t="shared" si="4"/>
        <v>1311.5833333333333</v>
      </c>
      <c r="E21" s="3">
        <f t="shared" si="5"/>
        <v>1308.75</v>
      </c>
      <c r="F21" s="3">
        <f t="shared" si="6"/>
        <v>1.0192932187201529</v>
      </c>
      <c r="G21" s="3">
        <v>106.71641359151242</v>
      </c>
      <c r="H21" s="3">
        <f t="shared" si="1"/>
        <v>1250.042008632586</v>
      </c>
      <c r="I21" s="3">
        <f t="shared" si="0"/>
        <v>1216.92</v>
      </c>
      <c r="J21" s="3">
        <f t="shared" si="2"/>
        <v>1298.6533802778331</v>
      </c>
      <c r="K21" s="3">
        <f t="shared" si="3"/>
        <v>2.6496716433408474</v>
      </c>
    </row>
    <row r="22" spans="1:11" x14ac:dyDescent="0.3">
      <c r="A22">
        <v>21</v>
      </c>
      <c r="B22" s="1">
        <v>45261</v>
      </c>
      <c r="C22">
        <v>1408</v>
      </c>
      <c r="D22" s="3">
        <f t="shared" si="4"/>
        <v>1313.6666666666667</v>
      </c>
      <c r="E22" s="3">
        <f t="shared" si="5"/>
        <v>1312.625</v>
      </c>
      <c r="F22" s="3">
        <f t="shared" si="6"/>
        <v>1.0726597466907914</v>
      </c>
      <c r="G22" s="3">
        <v>113.71109846557674</v>
      </c>
      <c r="H22" s="3">
        <f t="shared" si="1"/>
        <v>1238.2256604672918</v>
      </c>
      <c r="I22" s="3">
        <f t="shared" si="0"/>
        <v>1234.9180000000001</v>
      </c>
      <c r="J22" s="3">
        <f t="shared" si="2"/>
        <v>1404.2388229491312</v>
      </c>
      <c r="K22" s="3">
        <f t="shared" si="3"/>
        <v>0.26712905190829611</v>
      </c>
    </row>
    <row r="23" spans="1:11" x14ac:dyDescent="0.3">
      <c r="A23">
        <v>22</v>
      </c>
      <c r="B23" s="1">
        <v>45292</v>
      </c>
      <c r="C23">
        <v>1461</v>
      </c>
      <c r="D23" s="3">
        <f t="shared" si="4"/>
        <v>1324.1666666666667</v>
      </c>
      <c r="E23" s="3">
        <f t="shared" si="5"/>
        <v>1318.9166666666667</v>
      </c>
      <c r="F23" s="3">
        <f t="shared" si="6"/>
        <v>1.1077273014468945</v>
      </c>
      <c r="G23" s="3">
        <v>114.28909992470949</v>
      </c>
      <c r="H23" s="3">
        <f t="shared" si="1"/>
        <v>1278.3371301046789</v>
      </c>
      <c r="I23" s="3">
        <f t="shared" si="0"/>
        <v>1252.9160000000002</v>
      </c>
      <c r="J23" s="3">
        <f t="shared" si="2"/>
        <v>1431.9464192126732</v>
      </c>
      <c r="K23" s="3">
        <f t="shared" si="3"/>
        <v>1.9886092256897219</v>
      </c>
    </row>
    <row r="24" spans="1:11" x14ac:dyDescent="0.3">
      <c r="A24">
        <v>23</v>
      </c>
      <c r="B24" s="1">
        <v>45323</v>
      </c>
      <c r="C24">
        <v>1094</v>
      </c>
      <c r="D24" s="3">
        <f t="shared" si="4"/>
        <v>1313</v>
      </c>
      <c r="E24" s="3">
        <f t="shared" si="5"/>
        <v>1318.5833333333335</v>
      </c>
      <c r="F24" s="3">
        <f t="shared" si="6"/>
        <v>0.8296783163748972</v>
      </c>
      <c r="G24" s="3">
        <v>82.261135215044717</v>
      </c>
      <c r="H24" s="3">
        <f t="shared" si="1"/>
        <v>1329.9111386441439</v>
      </c>
      <c r="I24" s="3">
        <f t="shared" si="0"/>
        <v>1270.914</v>
      </c>
      <c r="J24" s="3">
        <f t="shared" si="2"/>
        <v>1045.4682840069333</v>
      </c>
      <c r="K24" s="3">
        <f t="shared" si="3"/>
        <v>4.4361714801706267</v>
      </c>
    </row>
    <row r="25" spans="1:11" x14ac:dyDescent="0.3">
      <c r="A25">
        <v>24</v>
      </c>
      <c r="B25" s="1">
        <v>45352</v>
      </c>
      <c r="C25">
        <v>1227</v>
      </c>
      <c r="D25" s="3">
        <f t="shared" si="4"/>
        <v>1322.25</v>
      </c>
      <c r="E25" s="3">
        <f t="shared" si="5"/>
        <v>1317.625</v>
      </c>
      <c r="F25" s="3">
        <f t="shared" si="6"/>
        <v>0.93122094677924294</v>
      </c>
      <c r="G25" s="3">
        <v>90.883218796667734</v>
      </c>
      <c r="H25" s="3">
        <f t="shared" si="1"/>
        <v>1350.0842248393037</v>
      </c>
      <c r="I25" s="3">
        <f t="shared" si="0"/>
        <v>1288.912</v>
      </c>
      <c r="J25" s="3">
        <f t="shared" si="2"/>
        <v>1171.4047130565059</v>
      </c>
      <c r="K25" s="3">
        <f t="shared" si="3"/>
        <v>4.5309932309286154</v>
      </c>
    </row>
    <row r="26" spans="1:11" x14ac:dyDescent="0.3">
      <c r="A26">
        <v>25</v>
      </c>
      <c r="B26" s="1">
        <v>45383</v>
      </c>
      <c r="C26">
        <v>1167</v>
      </c>
      <c r="D26" s="3">
        <f t="shared" si="4"/>
        <v>1316.3333333333333</v>
      </c>
      <c r="E26" s="3">
        <f t="shared" si="5"/>
        <v>1319.2916666666665</v>
      </c>
      <c r="F26" s="3">
        <f t="shared" si="6"/>
        <v>0.88456558127783225</v>
      </c>
      <c r="G26" s="3">
        <v>87.786394328523798</v>
      </c>
      <c r="H26" s="3">
        <f t="shared" si="1"/>
        <v>1329.3631762944101</v>
      </c>
      <c r="I26" s="3">
        <f t="shared" si="0"/>
        <v>1306.9100000000001</v>
      </c>
      <c r="J26" s="3">
        <f t="shared" si="2"/>
        <v>1147.2891661189105</v>
      </c>
      <c r="K26" s="3">
        <f t="shared" si="3"/>
        <v>1.6890174705303733</v>
      </c>
    </row>
    <row r="27" spans="1:11" x14ac:dyDescent="0.3">
      <c r="A27">
        <v>26</v>
      </c>
      <c r="B27" s="1">
        <v>45413</v>
      </c>
      <c r="C27">
        <v>1135</v>
      </c>
      <c r="D27" s="3">
        <f t="shared" si="4"/>
        <v>1322.6666666666667</v>
      </c>
      <c r="E27" s="3">
        <f t="shared" si="5"/>
        <v>1319.5</v>
      </c>
      <c r="F27" s="3">
        <f t="shared" si="6"/>
        <v>0.86017430845017051</v>
      </c>
      <c r="G27" s="3">
        <v>82.447368537469572</v>
      </c>
      <c r="H27" s="3">
        <f t="shared" si="1"/>
        <v>1376.6358103766288</v>
      </c>
      <c r="I27" s="3">
        <f t="shared" si="0"/>
        <v>1324.9080000000001</v>
      </c>
      <c r="J27" s="3">
        <f t="shared" si="2"/>
        <v>1092.3517815424175</v>
      </c>
      <c r="K27" s="3">
        <f t="shared" si="3"/>
        <v>3.7575522870116758</v>
      </c>
    </row>
    <row r="28" spans="1:11" x14ac:dyDescent="0.3">
      <c r="A28">
        <v>27</v>
      </c>
      <c r="B28" s="1">
        <v>45444</v>
      </c>
      <c r="C28">
        <v>1271</v>
      </c>
      <c r="D28" s="3">
        <f t="shared" si="4"/>
        <v>1336.1666666666667</v>
      </c>
      <c r="E28" s="3">
        <f t="shared" si="5"/>
        <v>1329.4166666666667</v>
      </c>
      <c r="F28" s="3">
        <f t="shared" si="6"/>
        <v>0.95605842161348964</v>
      </c>
      <c r="G28" s="3">
        <v>93.516180212143183</v>
      </c>
      <c r="H28" s="3">
        <f t="shared" si="1"/>
        <v>1359.1230919790703</v>
      </c>
      <c r="I28" s="3">
        <f t="shared" si="0"/>
        <v>1342.9059999999999</v>
      </c>
      <c r="J28" s="3">
        <f t="shared" si="2"/>
        <v>1255.8343950396834</v>
      </c>
      <c r="K28" s="3">
        <f t="shared" si="3"/>
        <v>1.193202593258585</v>
      </c>
    </row>
    <row r="29" spans="1:11" x14ac:dyDescent="0.3">
      <c r="A29">
        <v>28</v>
      </c>
      <c r="B29" s="1">
        <v>45474</v>
      </c>
      <c r="C29">
        <v>1603</v>
      </c>
      <c r="D29" s="3">
        <f t="shared" si="4"/>
        <v>1347.3333333333333</v>
      </c>
      <c r="E29" s="3">
        <f t="shared" si="5"/>
        <v>1341.75</v>
      </c>
      <c r="F29" s="3">
        <f t="shared" si="6"/>
        <v>1.1947084032047699</v>
      </c>
      <c r="G29" s="3">
        <v>113.44997855898517</v>
      </c>
      <c r="H29" s="3">
        <f t="shared" si="1"/>
        <v>1412.9575169258976</v>
      </c>
      <c r="I29" s="3">
        <f t="shared" si="0"/>
        <v>1360.904</v>
      </c>
      <c r="J29" s="3">
        <f t="shared" si="2"/>
        <v>1543.9452962083715</v>
      </c>
      <c r="K29" s="3">
        <f t="shared" si="3"/>
        <v>3.6840114654790099</v>
      </c>
    </row>
    <row r="30" spans="1:11" x14ac:dyDescent="0.3">
      <c r="A30">
        <v>29</v>
      </c>
      <c r="B30" s="1">
        <v>45505</v>
      </c>
      <c r="C30">
        <v>1362</v>
      </c>
      <c r="D30" s="3">
        <f t="shared" si="4"/>
        <v>1353.0833333333333</v>
      </c>
      <c r="E30" s="3">
        <f t="shared" si="5"/>
        <v>1350.2083333333333</v>
      </c>
      <c r="F30" s="3">
        <f t="shared" si="6"/>
        <v>1.0087332201820707</v>
      </c>
      <c r="G30" s="3">
        <v>104.79297754004877</v>
      </c>
      <c r="H30" s="3">
        <f t="shared" si="1"/>
        <v>1299.7054115381768</v>
      </c>
      <c r="I30" s="3">
        <f t="shared" si="0"/>
        <v>1378.902</v>
      </c>
      <c r="J30" s="3">
        <f t="shared" si="2"/>
        <v>1444.9924631592833</v>
      </c>
      <c r="K30" s="3">
        <f t="shared" si="3"/>
        <v>6.0934260763056729</v>
      </c>
    </row>
    <row r="31" spans="1:11" x14ac:dyDescent="0.3">
      <c r="A31">
        <v>30</v>
      </c>
      <c r="B31" s="1">
        <v>45536</v>
      </c>
      <c r="C31">
        <v>1746</v>
      </c>
      <c r="D31" s="3">
        <f t="shared" si="4"/>
        <v>1348.0833333333333</v>
      </c>
      <c r="E31" s="3">
        <f t="shared" si="5"/>
        <v>1350.5833333333333</v>
      </c>
      <c r="F31" s="3">
        <f t="shared" si="6"/>
        <v>1.2927747269698278</v>
      </c>
      <c r="G31" s="3">
        <v>123.4018555058806</v>
      </c>
      <c r="H31" s="3">
        <f t="shared" si="1"/>
        <v>1414.889583987492</v>
      </c>
      <c r="I31" s="3">
        <f t="shared" si="0"/>
        <v>1396.9</v>
      </c>
      <c r="J31" s="3">
        <f t="shared" si="2"/>
        <v>1723.8005195616463</v>
      </c>
      <c r="K31" s="3">
        <f t="shared" si="3"/>
        <v>1.2714479059767299</v>
      </c>
    </row>
    <row r="32" spans="1:11" x14ac:dyDescent="0.3">
      <c r="A32">
        <v>31</v>
      </c>
      <c r="B32" s="1">
        <v>45566</v>
      </c>
      <c r="C32">
        <v>988</v>
      </c>
      <c r="E32" s="3"/>
      <c r="F32" s="3"/>
      <c r="G32" s="3">
        <v>86.744279323437851</v>
      </c>
      <c r="H32" s="3">
        <f t="shared" si="1"/>
        <v>1138.9800084869084</v>
      </c>
      <c r="I32" s="3">
        <f t="shared" si="0"/>
        <v>1414.8980000000001</v>
      </c>
      <c r="J32" s="3">
        <f t="shared" si="2"/>
        <v>1227.3430732617358</v>
      </c>
      <c r="K32" s="3">
        <f t="shared" si="3"/>
        <v>24.225007415155442</v>
      </c>
    </row>
    <row r="33" spans="1:11" x14ac:dyDescent="0.3">
      <c r="A33">
        <v>32</v>
      </c>
      <c r="B33" s="1">
        <v>45597</v>
      </c>
      <c r="C33">
        <v>1410</v>
      </c>
      <c r="G33" s="3">
        <v>106.71641359151242</v>
      </c>
      <c r="H33" s="3">
        <f t="shared" si="1"/>
        <v>1321.258794731594</v>
      </c>
      <c r="I33" s="3">
        <f t="shared" si="0"/>
        <v>1432.8960000000002</v>
      </c>
      <c r="J33" s="3">
        <f t="shared" si="2"/>
        <v>1529.1352216962382</v>
      </c>
      <c r="K33" s="3">
        <f t="shared" si="3"/>
        <v>8.4493065032793044</v>
      </c>
    </row>
    <row r="34" spans="1:11" x14ac:dyDescent="0.3">
      <c r="A34">
        <v>33</v>
      </c>
      <c r="B34" s="1">
        <v>45627</v>
      </c>
      <c r="C34">
        <v>1570</v>
      </c>
      <c r="G34" s="3">
        <v>113.71109846557674</v>
      </c>
      <c r="H34" s="3">
        <f t="shared" si="1"/>
        <v>1380.6919651517387</v>
      </c>
      <c r="I34" s="3">
        <f t="shared" si="0"/>
        <v>1450.8940000000002</v>
      </c>
      <c r="J34" s="3">
        <f t="shared" si="2"/>
        <v>1649.8275049711453</v>
      </c>
      <c r="K34" s="3">
        <f t="shared" si="3"/>
        <v>5.0845544567608503</v>
      </c>
    </row>
    <row r="35" spans="1:11" x14ac:dyDescent="0.3">
      <c r="A35">
        <v>34</v>
      </c>
      <c r="B35" s="1">
        <v>45658</v>
      </c>
      <c r="C35">
        <v>1595</v>
      </c>
      <c r="G35" s="3">
        <v>114.28909992470949</v>
      </c>
      <c r="H35" s="3">
        <f t="shared" si="1"/>
        <v>1395.583656753568</v>
      </c>
      <c r="I35" s="3">
        <f t="shared" si="0"/>
        <v>1468.8920000000001</v>
      </c>
      <c r="J35" s="3">
        <f t="shared" si="2"/>
        <v>1678.7834456660637</v>
      </c>
      <c r="K35" s="3">
        <f t="shared" si="3"/>
        <v>5.2528806060228019</v>
      </c>
    </row>
    <row r="36" spans="1:11" x14ac:dyDescent="0.3">
      <c r="A36">
        <v>35</v>
      </c>
      <c r="B36" s="1">
        <v>45689</v>
      </c>
      <c r="C36">
        <v>1163</v>
      </c>
      <c r="G36" s="3">
        <v>82.261135215044717</v>
      </c>
      <c r="H36" s="3">
        <f t="shared" si="1"/>
        <v>1413.7903603685002</v>
      </c>
      <c r="I36" s="3">
        <f t="shared" si="0"/>
        <v>1486.89</v>
      </c>
      <c r="J36" s="3">
        <f t="shared" si="2"/>
        <v>1223.1325933989785</v>
      </c>
      <c r="K36" s="3">
        <f t="shared" si="3"/>
        <v>5.1704723472896426</v>
      </c>
    </row>
    <row r="37" spans="1:11" x14ac:dyDescent="0.3">
      <c r="A37">
        <v>36</v>
      </c>
      <c r="B37" s="1">
        <v>45717</v>
      </c>
      <c r="C37">
        <v>1167</v>
      </c>
      <c r="G37" s="3">
        <v>90.883218796667734</v>
      </c>
      <c r="H37" s="3">
        <f t="shared" si="1"/>
        <v>1284.0654363386043</v>
      </c>
      <c r="I37" s="3">
        <f t="shared" si="0"/>
        <v>1504.8879999999999</v>
      </c>
      <c r="J37" s="3">
        <f t="shared" si="2"/>
        <v>1367.6906536847971</v>
      </c>
      <c r="K37" s="3">
        <f t="shared" si="3"/>
        <v>17.197142560822375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Jindal</dc:creator>
  <cp:lastModifiedBy>Vansh Jindal</cp:lastModifiedBy>
  <cp:lastPrinted>2025-04-04T14:59:03Z</cp:lastPrinted>
  <dcterms:created xsi:type="dcterms:W3CDTF">2025-03-16T13:32:04Z</dcterms:created>
  <dcterms:modified xsi:type="dcterms:W3CDTF">2025-04-30T07:39:51Z</dcterms:modified>
</cp:coreProperties>
</file>
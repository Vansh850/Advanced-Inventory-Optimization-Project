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93" documentId="8_{795D3B4F-D298-4D5B-9E6E-E623EB9A9712}" xr6:coauthVersionLast="47" xr6:coauthVersionMax="47" xr10:uidLastSave="{092118A5-8827-47E9-80B8-1E5B58E505C7}"/>
  <bookViews>
    <workbookView xWindow="-108" yWindow="-108" windowWidth="23256" windowHeight="12456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8" i="5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J24" i="3" l="1"/>
  <c r="K24" i="3" s="1"/>
  <c r="J29" i="3"/>
  <c r="K29" i="3" s="1"/>
  <c r="J39" i="3"/>
  <c r="K39" i="3" s="1"/>
  <c r="J40" i="3"/>
  <c r="K40" i="3" s="1"/>
  <c r="J42" i="3"/>
  <c r="K42" i="3" s="1"/>
  <c r="J43" i="3"/>
  <c r="K43" i="3" s="1"/>
  <c r="J44" i="3"/>
  <c r="K44" i="3" s="1"/>
  <c r="J45" i="3"/>
  <c r="K45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J61" i="3"/>
  <c r="J32" i="3"/>
  <c r="K32" i="3" s="1"/>
  <c r="J34" i="3"/>
  <c r="K34" i="3" s="1"/>
  <c r="J35" i="3"/>
  <c r="K35" i="3" s="1"/>
  <c r="J36" i="3"/>
  <c r="K36" i="3" s="1"/>
  <c r="J37" i="3"/>
  <c r="K37" i="3" s="1"/>
  <c r="J38" i="3"/>
  <c r="K38" i="3" s="1"/>
  <c r="J68" i="3"/>
  <c r="J69" i="3"/>
  <c r="J70" i="3"/>
  <c r="H30" i="3"/>
  <c r="H26" i="3"/>
  <c r="H25" i="3"/>
  <c r="H35" i="3"/>
  <c r="H31" i="3"/>
  <c r="H28" i="3"/>
  <c r="H27" i="3"/>
  <c r="J63" i="3"/>
  <c r="J65" i="3"/>
  <c r="J66" i="3"/>
  <c r="J67" i="3"/>
  <c r="J41" i="3"/>
  <c r="K41" i="3" s="1"/>
  <c r="J64" i="3"/>
  <c r="J11" i="3"/>
  <c r="J10" i="3"/>
  <c r="J30" i="3"/>
  <c r="K30" i="3" s="1"/>
  <c r="J31" i="3"/>
  <c r="K31" i="3" s="1"/>
  <c r="J71" i="3"/>
  <c r="H32" i="3"/>
  <c r="H33" i="3"/>
  <c r="H34" i="3"/>
  <c r="J46" i="3"/>
  <c r="K46" i="3" s="1"/>
  <c r="J47" i="3"/>
  <c r="K47" i="3" s="1"/>
  <c r="J48" i="3"/>
  <c r="K48" i="3" s="1"/>
  <c r="J49" i="3"/>
  <c r="K49" i="3" s="1"/>
  <c r="J50" i="3"/>
  <c r="K50" i="3" s="1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9" i="3"/>
  <c r="F41" i="3"/>
  <c r="F37" i="3" l="1"/>
  <c r="H29" i="3"/>
  <c r="J33" i="3"/>
  <c r="K33" i="3" s="1"/>
  <c r="H24" i="3"/>
  <c r="J25" i="3"/>
  <c r="K25" i="3" s="1"/>
  <c r="J27" i="3"/>
  <c r="K27" i="3" s="1"/>
  <c r="J26" i="3"/>
  <c r="K26" i="3" s="1"/>
  <c r="J28" i="3"/>
  <c r="K28" i="3" s="1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9" i="3" s="1"/>
  <c r="K72" i="3"/>
  <c r="N3" i="3" l="1"/>
  <c r="N4" i="3"/>
  <c r="N5" i="3"/>
  <c r="N6" i="3"/>
  <c r="N7" i="3"/>
  <c r="N8" i="3"/>
  <c r="N13" i="3"/>
  <c r="N12" i="3"/>
  <c r="N11" i="3"/>
  <c r="N10" i="3"/>
  <c r="N14" i="3"/>
</calcChain>
</file>

<file path=xl/sharedStrings.xml><?xml version="1.0" encoding="utf-8"?>
<sst xmlns="http://schemas.openxmlformats.org/spreadsheetml/2006/main" count="130" uniqueCount="55">
  <si>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</si>
  <si>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</si>
  <si>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</si>
  <si>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</si>
  <si>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</si>
  <si>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</si>
  <si>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</si>
  <si>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</si>
  <si>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</si>
  <si>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</si>
  <si>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</si>
  <si>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</si>
  <si>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</si>
  <si>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</si>
  <si>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</si>
  <si>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</si>
  <si>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</si>
  <si>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</si>
  <si>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</si>
  <si>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</si>
  <si>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</si>
  <si>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</si>
  <si>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</si>
  <si>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</si>
  <si>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</si>
  <si>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</si>
  <si>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</si>
  <si>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</si>
  <si>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</si>
  <si>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</si>
  <si>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</si>
  <si>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</si>
  <si>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</si>
  <si>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</si>
  <si>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</si>
  <si>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</si>
  <si>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</si>
  <si>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</si>
  <si>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</si>
  <si>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</si>
  <si>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</si>
  <si>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</si>
  <si>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</si>
  <si>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</si>
  <si>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</si>
  <si>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</si>
  <si>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</si>
  <si>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</si>
  <si>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</si>
  <si>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Centered Moving Average</t>
  </si>
  <si>
    <t>Adjusted Seasonal Indices</t>
  </si>
  <si>
    <t>Error %</t>
  </si>
  <si>
    <t>12 point Moving Average</t>
  </si>
  <si>
    <t>Demand</t>
  </si>
  <si>
    <t>Ratio to Moving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</si>
</sst>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612</c:v>
                </c:pt>
                <c:pt idx="1">
                  <c:v>579</c:v>
                </c:pt>
                <c:pt idx="2">
                  <c:v>478</c:v>
                </c:pt>
                <c:pt idx="3">
                  <c:v>689</c:v>
                </c:pt>
                <c:pt idx="4">
                  <c:v>721</c:v>
                </c:pt>
                <c:pt idx="5">
                  <c:v>904</c:v>
                </c:pt>
                <c:pt idx="6">
                  <c:v>1225</c:v>
                </c:pt>
                <c:pt idx="7">
                  <c:v>1165</c:v>
                </c:pt>
                <c:pt idx="8">
                  <c:v>1149</c:v>
                </c:pt>
                <c:pt idx="9">
                  <c:v>1058</c:v>
                </c:pt>
                <c:pt idx="10">
                  <c:v>996</c:v>
                </c:pt>
                <c:pt idx="11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5-4E80-841E-ADD3B9A187B7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1300</c:v>
                </c:pt>
                <c:pt idx="1">
                  <c:v>1341</c:v>
                </c:pt>
                <c:pt idx="2">
                  <c:v>1562</c:v>
                </c:pt>
                <c:pt idx="3">
                  <c:v>1620</c:v>
                </c:pt>
                <c:pt idx="4">
                  <c:v>1574</c:v>
                </c:pt>
                <c:pt idx="5">
                  <c:v>1564</c:v>
                </c:pt>
                <c:pt idx="6">
                  <c:v>1248</c:v>
                </c:pt>
                <c:pt idx="7">
                  <c:v>1473</c:v>
                </c:pt>
                <c:pt idx="8">
                  <c:v>1259</c:v>
                </c:pt>
                <c:pt idx="9">
                  <c:v>1424</c:v>
                </c:pt>
                <c:pt idx="10">
                  <c:v>1031</c:v>
                </c:pt>
                <c:pt idx="11">
                  <c:v>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5-4E80-841E-ADD3B9A187B7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1478</c:v>
                </c:pt>
                <c:pt idx="1">
                  <c:v>1540</c:v>
                </c:pt>
                <c:pt idx="2">
                  <c:v>1723</c:v>
                </c:pt>
                <c:pt idx="3">
                  <c:v>1998</c:v>
                </c:pt>
                <c:pt idx="4">
                  <c:v>1912</c:v>
                </c:pt>
                <c:pt idx="5">
                  <c:v>1794</c:v>
                </c:pt>
                <c:pt idx="6">
                  <c:v>1411</c:v>
                </c:pt>
                <c:pt idx="7">
                  <c:v>1361</c:v>
                </c:pt>
                <c:pt idx="8">
                  <c:v>1311</c:v>
                </c:pt>
                <c:pt idx="9">
                  <c:v>1233</c:v>
                </c:pt>
                <c:pt idx="10">
                  <c:v>1210</c:v>
                </c:pt>
                <c:pt idx="11">
                  <c:v>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5-4E80-841E-ADD3B9A18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054143"/>
        <c:axId val="2105055103"/>
      </c:lineChart>
      <c:catAx>
        <c:axId val="2105054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55103"/>
        <c:crosses val="autoZero"/>
        <c:auto val="1"/>
        <c:lblAlgn val="ctr"/>
        <c:lblOffset val="100"/>
        <c:noMultiLvlLbl val="0"/>
      </c:catAx>
      <c:valAx>
        <c:axId val="210505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5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Sheet4!$A$1:$A$36</c15:sqref>
                  </c15:fullRef>
                </c:ext>
              </c:extLst>
              <c:f>(Sheet4!$A$1,Sheet4!$A$3,Sheet4!$A$5,Sheet4!$A$7,Sheet4!$A$9,Sheet4!$A$11,Sheet4!$A$13,Sheet4!$A$15,Sheet4!$A$17,Sheet4!$A$19,Sheet4!$A$21,Sheet4!$A$23,Sheet4!$A$25,Sheet4!$A$27,Sheet4!$A$29,Sheet4!$A$31,Sheet4!$A$33,Sheet4!$A$35)</c:f>
              <c:numCache>
                <c:formatCode>mmm\-yy</c:formatCode>
                <c:ptCount val="18"/>
                <c:pt idx="0">
                  <c:v>44562</c:v>
                </c:pt>
                <c:pt idx="1">
                  <c:v>44621</c:v>
                </c:pt>
                <c:pt idx="2">
                  <c:v>44682</c:v>
                </c:pt>
                <c:pt idx="3">
                  <c:v>44743</c:v>
                </c:pt>
                <c:pt idx="4">
                  <c:v>44805</c:v>
                </c:pt>
                <c:pt idx="5">
                  <c:v>44866</c:v>
                </c:pt>
                <c:pt idx="6">
                  <c:v>44927</c:v>
                </c:pt>
                <c:pt idx="7">
                  <c:v>44986</c:v>
                </c:pt>
                <c:pt idx="8">
                  <c:v>45047</c:v>
                </c:pt>
                <c:pt idx="9">
                  <c:v>45108</c:v>
                </c:pt>
                <c:pt idx="10">
                  <c:v>45170</c:v>
                </c:pt>
                <c:pt idx="11">
                  <c:v>45231</c:v>
                </c:pt>
                <c:pt idx="12">
                  <c:v>45292</c:v>
                </c:pt>
                <c:pt idx="13">
                  <c:v>45352</c:v>
                </c:pt>
                <c:pt idx="14">
                  <c:v>45413</c:v>
                </c:pt>
                <c:pt idx="15">
                  <c:v>45474</c:v>
                </c:pt>
                <c:pt idx="16">
                  <c:v>45536</c:v>
                </c:pt>
                <c:pt idx="17">
                  <c:v>45597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Sheet4!$B$1:$B$36</c15:sqref>
                  </c15:fullRef>
                </c:ext>
              </c:extLst>
              <c:f>(Sheet4!$B$1,Sheet4!$B$3,Sheet4!$B$5,Sheet4!$B$7,Sheet4!$B$9,Sheet4!$B$11,Sheet4!$B$13,Sheet4!$B$15,Sheet4!$B$17,Sheet4!$B$19,Sheet4!$B$21,Sheet4!$B$23,Sheet4!$B$25,Sheet4!$B$27,Sheet4!$B$29,Sheet4!$B$31,Sheet4!$B$33,Sheet4!$B$35)</c:f>
              <c:numCache>
                <c:formatCode>General</c:formatCode>
                <c:ptCount val="18"/>
                <c:pt idx="0">
                  <c:v>647</c:v>
                </c:pt>
                <c:pt idx="1">
                  <c:v>1065</c:v>
                </c:pt>
                <c:pt idx="2">
                  <c:v>512</c:v>
                </c:pt>
                <c:pt idx="3">
                  <c:v>866</c:v>
                </c:pt>
                <c:pt idx="4">
                  <c:v>556</c:v>
                </c:pt>
                <c:pt idx="5">
                  <c:v>785</c:v>
                </c:pt>
                <c:pt idx="6">
                  <c:v>1228</c:v>
                </c:pt>
                <c:pt idx="7">
                  <c:v>1441</c:v>
                </c:pt>
                <c:pt idx="8">
                  <c:v>1123</c:v>
                </c:pt>
                <c:pt idx="9">
                  <c:v>1152</c:v>
                </c:pt>
                <c:pt idx="10">
                  <c:v>761</c:v>
                </c:pt>
                <c:pt idx="11">
                  <c:v>985</c:v>
                </c:pt>
                <c:pt idx="12">
                  <c:v>1478</c:v>
                </c:pt>
                <c:pt idx="13">
                  <c:v>646</c:v>
                </c:pt>
                <c:pt idx="14">
                  <c:v>1652</c:v>
                </c:pt>
                <c:pt idx="15">
                  <c:v>1659</c:v>
                </c:pt>
                <c:pt idx="16">
                  <c:v>973</c:v>
                </c:pt>
                <c:pt idx="17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6-4202-A0E3-5AD1C3B5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09392"/>
        <c:axId val="423808432"/>
      </c:lineChart>
      <c:dateAx>
        <c:axId val="42380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8432"/>
        <c:crosses val="autoZero"/>
        <c:auto val="1"/>
        <c:lblOffset val="100"/>
        <c:baseTimeUnit val="months"/>
      </c:dateAx>
      <c:valAx>
        <c:axId val="423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612</c:v>
                </c:pt>
                <c:pt idx="1">
                  <c:v>579</c:v>
                </c:pt>
                <c:pt idx="2">
                  <c:v>478</c:v>
                </c:pt>
                <c:pt idx="3">
                  <c:v>689</c:v>
                </c:pt>
                <c:pt idx="4">
                  <c:v>721</c:v>
                </c:pt>
                <c:pt idx="5">
                  <c:v>904</c:v>
                </c:pt>
                <c:pt idx="6">
                  <c:v>1225</c:v>
                </c:pt>
                <c:pt idx="7">
                  <c:v>1165</c:v>
                </c:pt>
                <c:pt idx="8">
                  <c:v>1149</c:v>
                </c:pt>
                <c:pt idx="9">
                  <c:v>1058</c:v>
                </c:pt>
                <c:pt idx="10">
                  <c:v>996</c:v>
                </c:pt>
                <c:pt idx="11">
                  <c:v>966</c:v>
                </c:pt>
                <c:pt idx="12">
                  <c:v>1300</c:v>
                </c:pt>
                <c:pt idx="13">
                  <c:v>1341</c:v>
                </c:pt>
                <c:pt idx="14">
                  <c:v>1562</c:v>
                </c:pt>
                <c:pt idx="15">
                  <c:v>1620</c:v>
                </c:pt>
                <c:pt idx="16">
                  <c:v>1574</c:v>
                </c:pt>
                <c:pt idx="17">
                  <c:v>1564</c:v>
                </c:pt>
                <c:pt idx="18">
                  <c:v>1248</c:v>
                </c:pt>
                <c:pt idx="19">
                  <c:v>1173</c:v>
                </c:pt>
                <c:pt idx="20">
                  <c:v>1159</c:v>
                </c:pt>
                <c:pt idx="21">
                  <c:v>1134</c:v>
                </c:pt>
                <c:pt idx="22">
                  <c:v>1031</c:v>
                </c:pt>
                <c:pt idx="23">
                  <c:v>1025</c:v>
                </c:pt>
                <c:pt idx="24">
                  <c:v>1478</c:v>
                </c:pt>
                <c:pt idx="25">
                  <c:v>1540</c:v>
                </c:pt>
                <c:pt idx="26">
                  <c:v>1723</c:v>
                </c:pt>
                <c:pt idx="27">
                  <c:v>1998</c:v>
                </c:pt>
                <c:pt idx="28">
                  <c:v>1912</c:v>
                </c:pt>
                <c:pt idx="29">
                  <c:v>1794</c:v>
                </c:pt>
                <c:pt idx="30">
                  <c:v>1411</c:v>
                </c:pt>
                <c:pt idx="31">
                  <c:v>1361</c:v>
                </c:pt>
                <c:pt idx="32">
                  <c:v>1311</c:v>
                </c:pt>
                <c:pt idx="33">
                  <c:v>1233</c:v>
                </c:pt>
                <c:pt idx="34">
                  <c:v>1210</c:v>
                </c:pt>
                <c:pt idx="35">
                  <c:v>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631.71131634888991</c:v>
                </c:pt>
                <c:pt idx="1">
                  <c:v>579.67766663498162</c:v>
                </c:pt>
                <c:pt idx="2">
                  <c:v>421.34652068981887</c:v>
                </c:pt>
                <c:pt idx="3">
                  <c:v>556.1546401903729</c:v>
                </c:pt>
                <c:pt idx="4">
                  <c:v>607.19928432118047</c:v>
                </c:pt>
                <c:pt idx="5">
                  <c:v>793.98307990723129</c:v>
                </c:pt>
                <c:pt idx="6">
                  <c:v>1117.3734903381496</c:v>
                </c:pt>
                <c:pt idx="7">
                  <c:v>1171.6451096016719</c:v>
                </c:pt>
                <c:pt idx="8">
                  <c:v>1228.7720206388108</c:v>
                </c:pt>
                <c:pt idx="9">
                  <c:v>1256.3621118130272</c:v>
                </c:pt>
                <c:pt idx="10">
                  <c:v>1334.4506591846321</c:v>
                </c:pt>
                <c:pt idx="11">
                  <c:v>1343.8134263091331</c:v>
                </c:pt>
                <c:pt idx="12">
                  <c:v>1341.8704432247662</c:v>
                </c:pt>
                <c:pt idx="13">
                  <c:v>1342.5695180613302</c:v>
                </c:pt>
                <c:pt idx="14">
                  <c:v>1376.8687558943452</c:v>
                </c:pt>
                <c:pt idx="15">
                  <c:v>1307.6495168481918</c:v>
                </c:pt>
                <c:pt idx="16">
                  <c:v>1325.5640409452678</c:v>
                </c:pt>
                <c:pt idx="17">
                  <c:v>1373.6609922288824</c:v>
                </c:pt>
                <c:pt idx="18">
                  <c:v>1138.3527477077637</c:v>
                </c:pt>
                <c:pt idx="19">
                  <c:v>1179.6907412555888</c:v>
                </c:pt>
                <c:pt idx="20">
                  <c:v>1239.466294099549</c:v>
                </c:pt>
                <c:pt idx="21">
                  <c:v>1346.6111860075357</c:v>
                </c:pt>
                <c:pt idx="22">
                  <c:v>1381.3440056419233</c:v>
                </c:pt>
                <c:pt idx="23">
                  <c:v>1425.8889875433349</c:v>
                </c:pt>
                <c:pt idx="24">
                  <c:v>1525.6034731432339</c:v>
                </c:pt>
                <c:pt idx="25">
                  <c:v>1541.8024293918336</c:v>
                </c:pt>
                <c:pt idx="26">
                  <c:v>1518.7867262522132</c:v>
                </c:pt>
                <c:pt idx="27">
                  <c:v>1612.7677374461034</c:v>
                </c:pt>
                <c:pt idx="28">
                  <c:v>1610.2150230542265</c:v>
                </c:pt>
                <c:pt idx="29">
                  <c:v>1575.6699616743063</c:v>
                </c:pt>
                <c:pt idx="30">
                  <c:v>1287.0318325445951</c:v>
                </c:pt>
                <c:pt idx="31">
                  <c:v>1368.7630851226397</c:v>
                </c:pt>
                <c:pt idx="32">
                  <c:v>1402.0192507027684</c:v>
                </c:pt>
                <c:pt idx="33">
                  <c:v>1464.1724800240668</c:v>
                </c:pt>
                <c:pt idx="34">
                  <c:v>1621.1699775234986</c:v>
                </c:pt>
                <c:pt idx="35">
                  <c:v>1680.4623384900965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AC693208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612</c:v>
                </c:pt>
                <c:pt idx="1">
                  <c:v>579</c:v>
                </c:pt>
                <c:pt idx="2">
                  <c:v>478</c:v>
                </c:pt>
                <c:pt idx="3">
                  <c:v>689</c:v>
                </c:pt>
                <c:pt idx="4">
                  <c:v>721</c:v>
                </c:pt>
                <c:pt idx="5">
                  <c:v>904</c:v>
                </c:pt>
                <c:pt idx="6">
                  <c:v>1225</c:v>
                </c:pt>
                <c:pt idx="7">
                  <c:v>1165</c:v>
                </c:pt>
                <c:pt idx="8">
                  <c:v>1149</c:v>
                </c:pt>
                <c:pt idx="9">
                  <c:v>1058</c:v>
                </c:pt>
                <c:pt idx="10">
                  <c:v>996</c:v>
                </c:pt>
                <c:pt idx="11">
                  <c:v>966</c:v>
                </c:pt>
                <c:pt idx="12">
                  <c:v>1300</c:v>
                </c:pt>
                <c:pt idx="13">
                  <c:v>1341</c:v>
                </c:pt>
                <c:pt idx="14">
                  <c:v>1562</c:v>
                </c:pt>
                <c:pt idx="15">
                  <c:v>1620</c:v>
                </c:pt>
                <c:pt idx="16">
                  <c:v>1574</c:v>
                </c:pt>
                <c:pt idx="17">
                  <c:v>1564</c:v>
                </c:pt>
                <c:pt idx="18">
                  <c:v>1248</c:v>
                </c:pt>
                <c:pt idx="19">
                  <c:v>1173</c:v>
                </c:pt>
                <c:pt idx="20">
                  <c:v>1159</c:v>
                </c:pt>
                <c:pt idx="21">
                  <c:v>1134</c:v>
                </c:pt>
                <c:pt idx="22">
                  <c:v>1031</c:v>
                </c:pt>
                <c:pt idx="23">
                  <c:v>1025</c:v>
                </c:pt>
                <c:pt idx="24">
                  <c:v>1478</c:v>
                </c:pt>
                <c:pt idx="25">
                  <c:v>1540</c:v>
                </c:pt>
                <c:pt idx="26">
                  <c:v>1723</c:v>
                </c:pt>
                <c:pt idx="27">
                  <c:v>1998</c:v>
                </c:pt>
                <c:pt idx="28">
                  <c:v>1912</c:v>
                </c:pt>
                <c:pt idx="29">
                  <c:v>1794</c:v>
                </c:pt>
                <c:pt idx="30">
                  <c:v>1411</c:v>
                </c:pt>
                <c:pt idx="31">
                  <c:v>1361</c:v>
                </c:pt>
                <c:pt idx="32">
                  <c:v>1311</c:v>
                </c:pt>
                <c:pt idx="33">
                  <c:v>1233</c:v>
                </c:pt>
                <c:pt idx="34">
                  <c:v>1210</c:v>
                </c:pt>
                <c:pt idx="35">
                  <c:v>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A-48C3-A998-F2296DC84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071423"/>
        <c:axId val="2105084863"/>
      </c:lineChart>
      <c:dateAx>
        <c:axId val="210507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84863"/>
        <c:crosses val="autoZero"/>
        <c:auto val="1"/>
        <c:lblOffset val="100"/>
        <c:baseTimeUnit val="months"/>
      </c:dateAx>
      <c:valAx>
        <c:axId val="210508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7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612</c:v>
                </c:pt>
                <c:pt idx="1">
                  <c:v>579</c:v>
                </c:pt>
                <c:pt idx="2">
                  <c:v>478</c:v>
                </c:pt>
                <c:pt idx="3">
                  <c:v>689</c:v>
                </c:pt>
                <c:pt idx="4">
                  <c:v>721</c:v>
                </c:pt>
                <c:pt idx="5">
                  <c:v>904</c:v>
                </c:pt>
                <c:pt idx="6">
                  <c:v>1225</c:v>
                </c:pt>
                <c:pt idx="7">
                  <c:v>1165</c:v>
                </c:pt>
                <c:pt idx="8">
                  <c:v>1149</c:v>
                </c:pt>
                <c:pt idx="9">
                  <c:v>1058</c:v>
                </c:pt>
                <c:pt idx="10">
                  <c:v>996</c:v>
                </c:pt>
                <c:pt idx="11">
                  <c:v>966</c:v>
                </c:pt>
                <c:pt idx="12">
                  <c:v>1300</c:v>
                </c:pt>
                <c:pt idx="13">
                  <c:v>1341</c:v>
                </c:pt>
                <c:pt idx="14">
                  <c:v>1562</c:v>
                </c:pt>
                <c:pt idx="15">
                  <c:v>1620</c:v>
                </c:pt>
                <c:pt idx="16">
                  <c:v>1574</c:v>
                </c:pt>
                <c:pt idx="17">
                  <c:v>1564</c:v>
                </c:pt>
                <c:pt idx="18">
                  <c:v>1248</c:v>
                </c:pt>
                <c:pt idx="19">
                  <c:v>1173</c:v>
                </c:pt>
                <c:pt idx="20">
                  <c:v>1159</c:v>
                </c:pt>
                <c:pt idx="21">
                  <c:v>1134</c:v>
                </c:pt>
                <c:pt idx="22">
                  <c:v>1031</c:v>
                </c:pt>
                <c:pt idx="23">
                  <c:v>1025</c:v>
                </c:pt>
                <c:pt idx="24">
                  <c:v>1478</c:v>
                </c:pt>
                <c:pt idx="25">
                  <c:v>1540</c:v>
                </c:pt>
                <c:pt idx="26">
                  <c:v>1723</c:v>
                </c:pt>
                <c:pt idx="27">
                  <c:v>1998</c:v>
                </c:pt>
                <c:pt idx="28">
                  <c:v>1912</c:v>
                </c:pt>
                <c:pt idx="29">
                  <c:v>1794</c:v>
                </c:pt>
                <c:pt idx="30">
                  <c:v>1411</c:v>
                </c:pt>
                <c:pt idx="31">
                  <c:v>1361</c:v>
                </c:pt>
                <c:pt idx="32">
                  <c:v>1311</c:v>
                </c:pt>
                <c:pt idx="33">
                  <c:v>1233</c:v>
                </c:pt>
                <c:pt idx="34">
                  <c:v>1210</c:v>
                </c:pt>
                <c:pt idx="35">
                  <c:v>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8-4204-B0CD-FB8ED10AB2ED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Sheet2!$J$2:$J$37</c:f>
              <c:numCache>
                <c:formatCode>0.00</c:formatCode>
                <c:ptCount val="36"/>
                <c:pt idx="0">
                  <c:v>780.1072788251721</c:v>
                </c:pt>
                <c:pt idx="1">
                  <c:v>829.72488278190792</c:v>
                </c:pt>
                <c:pt idx="2">
                  <c:v>971.27656668434122</c:v>
                </c:pt>
                <c:pt idx="3">
                  <c:v>1092.2098173847346</c:v>
                </c:pt>
                <c:pt idx="4">
                  <c:v>1077.090012929033</c:v>
                </c:pt>
                <c:pt idx="5">
                  <c:v>1061.7649334523585</c:v>
                </c:pt>
                <c:pt idx="6">
                  <c:v>1050.2875584106132</c:v>
                </c:pt>
                <c:pt idx="7">
                  <c:v>977.89612281958262</c:v>
                </c:pt>
                <c:pt idx="8">
                  <c:v>943.43669413738962</c:v>
                </c:pt>
                <c:pt idx="9">
                  <c:v>871.08261997864884</c:v>
                </c:pt>
                <c:pt idx="10">
                  <c:v>791.05476154884639</c:v>
                </c:pt>
                <c:pt idx="11">
                  <c:v>780.18636774568017</c:v>
                </c:pt>
                <c:pt idx="12">
                  <c:v>1076.1290013436287</c:v>
                </c:pt>
                <c:pt idx="13">
                  <c:v>1134.923675460949</c:v>
                </c:pt>
                <c:pt idx="14">
                  <c:v>1317.9170652480432</c:v>
                </c:pt>
                <c:pt idx="15">
                  <c:v>1470.7521665557058</c:v>
                </c:pt>
                <c:pt idx="16">
                  <c:v>1439.9130295047053</c:v>
                </c:pt>
                <c:pt idx="17">
                  <c:v>1409.6597828391664</c:v>
                </c:pt>
                <c:pt idx="18">
                  <c:v>1385.2750117881981</c:v>
                </c:pt>
                <c:pt idx="19">
                  <c:v>1281.7191295327857</c:v>
                </c:pt>
                <c:pt idx="20">
                  <c:v>1229.1559635405774</c:v>
                </c:pt>
                <c:pt idx="21">
                  <c:v>1128.3955753442676</c:v>
                </c:pt>
                <c:pt idx="22">
                  <c:v>1019.1139812025368</c:v>
                </c:pt>
                <c:pt idx="23">
                  <c:v>999.83523433774496</c:v>
                </c:pt>
                <c:pt idx="24">
                  <c:v>1372.1507238620852</c:v>
                </c:pt>
                <c:pt idx="25">
                  <c:v>1440.1224681399899</c:v>
                </c:pt>
                <c:pt idx="26">
                  <c:v>1664.5575638117452</c:v>
                </c:pt>
                <c:pt idx="27">
                  <c:v>1849.294515726677</c:v>
                </c:pt>
                <c:pt idx="28">
                  <c:v>1802.7360460803777</c:v>
                </c:pt>
                <c:pt idx="29">
                  <c:v>1757.5546322259738</c:v>
                </c:pt>
                <c:pt idx="30">
                  <c:v>1720.2624651657827</c:v>
                </c:pt>
                <c:pt idx="31">
                  <c:v>1585.5421362459883</c:v>
                </c:pt>
                <c:pt idx="32">
                  <c:v>1514.8752329437652</c:v>
                </c:pt>
                <c:pt idx="33">
                  <c:v>1385.7085307098864</c:v>
                </c:pt>
                <c:pt idx="34">
                  <c:v>1247.1732008562271</c:v>
                </c:pt>
                <c:pt idx="35">
                  <c:v>1219.4841009298095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8-4204-B0CD-FB8ED10AB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074783"/>
        <c:axId val="2105074303"/>
      </c:lineChart>
      <c:dateAx>
        <c:axId val="2105074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74303"/>
        <c:crosses val="autoZero"/>
        <c:auto val="1"/>
        <c:lblOffset val="100"/>
        <c:baseTimeUnit val="months"/>
      </c:dateAx>
      <c:valAx>
        <c:axId val="210507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7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BEC59-0CAA-6283-5082-29F06DAE4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</xdr:row>
      <xdr:rowOff>76200</xdr:rowOff>
    </xdr:from>
    <xdr:to>
      <xdr:col>18</xdr:col>
      <xdr:colOff>53340</xdr:colOff>
      <xdr:row>31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0B20E-D217-B0EE-7C77-7D4E60C8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71</xdr:row>
      <xdr:rowOff>60960</xdr:rowOff>
    </xdr:from>
    <xdr:to>
      <xdr:col>7</xdr:col>
      <xdr:colOff>525780</xdr:colOff>
      <xdr:row>87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18</xdr:row>
      <xdr:rowOff>140970</xdr:rowOff>
    </xdr:from>
    <xdr:to>
      <xdr:col>20</xdr:col>
      <xdr:colOff>76200</xdr:colOff>
      <xdr:row>33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CFE8E-22CD-FDAA-8D71-4B22402D3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17</xdr:row>
      <xdr:rowOff>41910</xdr:rowOff>
    </xdr:from>
    <xdr:to>
      <xdr:col>12</xdr:col>
      <xdr:colOff>60960</xdr:colOff>
      <xdr:row>32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22D68-0079-4E4F-A4CF-57878D1C2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tabSelected="1" workbookViewId="0">
      <selection activeCell="C13" sqref="C13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612</v>
      </c>
      <c r="C3">
        <v>1300</v>
      </c>
      <c r="D3">
        <v>1478</v>
      </c>
    </row>
    <row r="4" spans="1:4" x14ac:dyDescent="0.3">
      <c r="A4" t="s">
        <v>7</v>
      </c>
      <c r="B4">
        <v>579</v>
      </c>
      <c r="C4">
        <v>1341</v>
      </c>
      <c r="D4">
        <v>1540</v>
      </c>
    </row>
    <row r="5" spans="1:4" x14ac:dyDescent="0.3">
      <c r="A5" t="s">
        <v>8</v>
      </c>
      <c r="B5">
        <v>478</v>
      </c>
      <c r="C5">
        <v>1562</v>
      </c>
      <c r="D5">
        <v>1723</v>
      </c>
    </row>
    <row r="6" spans="1:4" x14ac:dyDescent="0.3">
      <c r="A6" t="s">
        <v>9</v>
      </c>
      <c r="B6">
        <v>689</v>
      </c>
      <c r="C6">
        <v>1620</v>
      </c>
      <c r="D6">
        <v>1998</v>
      </c>
    </row>
    <row r="7" spans="1:4" x14ac:dyDescent="0.3">
      <c r="A7" t="s">
        <v>10</v>
      </c>
      <c r="B7">
        <v>721</v>
      </c>
      <c r="C7">
        <v>1574</v>
      </c>
      <c r="D7">
        <v>1912</v>
      </c>
    </row>
    <row r="8" spans="1:4" x14ac:dyDescent="0.3">
      <c r="A8" t="s">
        <v>11</v>
      </c>
      <c r="B8">
        <v>904</v>
      </c>
      <c r="C8">
        <v>1564</v>
      </c>
      <c r="D8">
        <v>1794</v>
      </c>
    </row>
    <row r="9" spans="1:4" x14ac:dyDescent="0.3">
      <c r="A9" t="s">
        <v>12</v>
      </c>
      <c r="B9">
        <v>1225</v>
      </c>
      <c r="C9">
        <v>1248</v>
      </c>
      <c r="D9">
        <v>1411</v>
      </c>
    </row>
    <row r="10" spans="1:4" x14ac:dyDescent="0.3">
      <c r="A10" t="s">
        <v>13</v>
      </c>
      <c r="B10">
        <v>1165</v>
      </c>
      <c r="C10">
        <v>1473</v>
      </c>
      <c r="D10">
        <v>1361</v>
      </c>
    </row>
    <row r="11" spans="1:4" x14ac:dyDescent="0.3">
      <c r="A11" t="s">
        <v>14</v>
      </c>
      <c r="B11">
        <v>1149</v>
      </c>
      <c r="C11">
        <v>1259</v>
      </c>
      <c r="D11">
        <v>1311</v>
      </c>
    </row>
    <row r="12" spans="1:4" x14ac:dyDescent="0.3">
      <c r="A12" t="s">
        <v>15</v>
      </c>
      <c r="B12">
        <v>1058</v>
      </c>
      <c r="C12">
        <v>1424</v>
      </c>
      <c r="D12">
        <v>1233</v>
      </c>
    </row>
    <row r="13" spans="1:4" x14ac:dyDescent="0.3">
      <c r="A13" t="s">
        <v>16</v>
      </c>
      <c r="B13">
        <v>996</v>
      </c>
      <c r="C13">
        <v>1031</v>
      </c>
      <c r="D13">
        <v>1210</v>
      </c>
    </row>
    <row r="14" spans="1:4" x14ac:dyDescent="0.3">
      <c r="A14" t="s">
        <v>6</v>
      </c>
      <c r="B14">
        <v>966</v>
      </c>
      <c r="C14">
        <v>1525</v>
      </c>
      <c r="D14">
        <v>1208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B36"/>
  <sheetViews>
    <sheetView workbookViewId="0">
      <selection activeCell="B26" sqref="B26"/>
    </sheetView>
  </sheetViews>
  <sheetFormatPr defaultRowHeight="14.4" x14ac:dyDescent="0.3"/>
  <sheetData>
    <row r="1" spans="1:2" x14ac:dyDescent="0.3">
      <c r="A1" s="1">
        <v>44562</v>
      </c>
      <c r="B1">
        <v>647</v>
      </c>
    </row>
    <row r="2" spans="1:2" x14ac:dyDescent="0.3">
      <c r="A2" s="1">
        <v>44593</v>
      </c>
      <c r="B2">
        <v>785</v>
      </c>
    </row>
    <row r="3" spans="1:2" x14ac:dyDescent="0.3">
      <c r="A3" s="1">
        <v>44621</v>
      </c>
      <c r="B3">
        <v>1065</v>
      </c>
    </row>
    <row r="4" spans="1:2" x14ac:dyDescent="0.3">
      <c r="A4" s="1">
        <v>44652</v>
      </c>
      <c r="B4">
        <v>608</v>
      </c>
    </row>
    <row r="5" spans="1:2" x14ac:dyDescent="0.3">
      <c r="A5" s="1">
        <v>44682</v>
      </c>
      <c r="B5">
        <v>512</v>
      </c>
    </row>
    <row r="6" spans="1:2" x14ac:dyDescent="0.3">
      <c r="A6" s="1">
        <v>44713</v>
      </c>
      <c r="B6">
        <v>702</v>
      </c>
    </row>
    <row r="7" spans="1:2" x14ac:dyDescent="0.3">
      <c r="A7" s="1">
        <v>44743</v>
      </c>
      <c r="B7">
        <v>866</v>
      </c>
    </row>
    <row r="8" spans="1:2" x14ac:dyDescent="0.3">
      <c r="A8" s="1">
        <v>44774</v>
      </c>
      <c r="B8">
        <v>693</v>
      </c>
    </row>
    <row r="9" spans="1:2" x14ac:dyDescent="0.3">
      <c r="A9" s="1">
        <v>44805</v>
      </c>
      <c r="B9">
        <v>556</v>
      </c>
    </row>
    <row r="10" spans="1:2" x14ac:dyDescent="0.3">
      <c r="A10" s="1">
        <v>44835</v>
      </c>
      <c r="B10">
        <v>971</v>
      </c>
    </row>
    <row r="11" spans="1:2" x14ac:dyDescent="0.3">
      <c r="A11" s="1">
        <v>44866</v>
      </c>
      <c r="B11">
        <v>785</v>
      </c>
    </row>
    <row r="12" spans="1:2" x14ac:dyDescent="0.3">
      <c r="A12" s="1">
        <v>44896</v>
      </c>
      <c r="B12">
        <v>456</v>
      </c>
    </row>
    <row r="13" spans="1:2" x14ac:dyDescent="0.3">
      <c r="A13" s="1">
        <v>44927</v>
      </c>
      <c r="B13">
        <v>1228</v>
      </c>
    </row>
    <row r="14" spans="1:2" x14ac:dyDescent="0.3">
      <c r="A14" s="1">
        <v>44958</v>
      </c>
      <c r="B14">
        <v>665</v>
      </c>
    </row>
    <row r="15" spans="1:2" x14ac:dyDescent="0.3">
      <c r="A15" s="1">
        <v>44986</v>
      </c>
      <c r="B15">
        <v>1441</v>
      </c>
    </row>
    <row r="16" spans="1:2" x14ac:dyDescent="0.3">
      <c r="A16" s="1">
        <v>45017</v>
      </c>
      <c r="B16">
        <v>1459</v>
      </c>
    </row>
    <row r="17" spans="1:2" x14ac:dyDescent="0.3">
      <c r="A17" s="1">
        <v>45047</v>
      </c>
      <c r="B17">
        <v>1123</v>
      </c>
    </row>
    <row r="18" spans="1:2" x14ac:dyDescent="0.3">
      <c r="A18" s="1">
        <v>45078</v>
      </c>
      <c r="B18">
        <v>851</v>
      </c>
    </row>
    <row r="19" spans="1:2" x14ac:dyDescent="0.3">
      <c r="A19" s="1">
        <v>45108</v>
      </c>
      <c r="B19">
        <v>1152</v>
      </c>
    </row>
    <row r="20" spans="1:2" x14ac:dyDescent="0.3">
      <c r="A20" s="1">
        <v>45139</v>
      </c>
      <c r="B20">
        <v>1236</v>
      </c>
    </row>
    <row r="21" spans="1:2" x14ac:dyDescent="0.3">
      <c r="A21" s="1">
        <v>45170</v>
      </c>
      <c r="B21">
        <v>761</v>
      </c>
    </row>
    <row r="22" spans="1:2" x14ac:dyDescent="0.3">
      <c r="A22" s="1">
        <v>45200</v>
      </c>
      <c r="B22">
        <v>695</v>
      </c>
    </row>
    <row r="23" spans="1:2" x14ac:dyDescent="0.3">
      <c r="A23" s="1">
        <v>45231</v>
      </c>
      <c r="B23">
        <v>985</v>
      </c>
    </row>
    <row r="24" spans="1:2" x14ac:dyDescent="0.3">
      <c r="A24" s="1">
        <v>45261</v>
      </c>
      <c r="B24">
        <v>745</v>
      </c>
    </row>
    <row r="25" spans="1:2" x14ac:dyDescent="0.3">
      <c r="A25" s="1">
        <v>45292</v>
      </c>
      <c r="B25">
        <v>1478</v>
      </c>
    </row>
    <row r="26" spans="1:2" x14ac:dyDescent="0.3">
      <c r="A26" s="1">
        <v>45323</v>
      </c>
      <c r="B26">
        <v>1002</v>
      </c>
    </row>
    <row r="27" spans="1:2" x14ac:dyDescent="0.3">
      <c r="A27" s="1">
        <v>45352</v>
      </c>
      <c r="B27">
        <v>646</v>
      </c>
    </row>
    <row r="28" spans="1:2" x14ac:dyDescent="0.3">
      <c r="A28" s="1">
        <v>45383</v>
      </c>
      <c r="B28">
        <v>2041</v>
      </c>
    </row>
    <row r="29" spans="1:2" x14ac:dyDescent="0.3">
      <c r="A29" s="1">
        <v>45413</v>
      </c>
      <c r="B29">
        <v>1652</v>
      </c>
    </row>
    <row r="30" spans="1:2" x14ac:dyDescent="0.3">
      <c r="A30" s="1">
        <v>45444</v>
      </c>
      <c r="B30">
        <v>896</v>
      </c>
    </row>
    <row r="31" spans="1:2" x14ac:dyDescent="0.3">
      <c r="A31" s="1">
        <v>45474</v>
      </c>
      <c r="B31">
        <v>1659</v>
      </c>
    </row>
    <row r="32" spans="1:2" x14ac:dyDescent="0.3">
      <c r="A32" s="1">
        <v>45505</v>
      </c>
      <c r="B32">
        <v>1498</v>
      </c>
    </row>
    <row r="33" spans="1:2" x14ac:dyDescent="0.3">
      <c r="A33" s="1">
        <v>45536</v>
      </c>
      <c r="B33">
        <v>973</v>
      </c>
    </row>
    <row r="34" spans="1:2" x14ac:dyDescent="0.3">
      <c r="A34" s="1">
        <v>45566</v>
      </c>
      <c r="B34">
        <v>1269</v>
      </c>
    </row>
    <row r="35" spans="1:2" x14ac:dyDescent="0.3">
      <c r="A35" s="1">
        <v>45597</v>
      </c>
      <c r="B35">
        <v>1145</v>
      </c>
    </row>
    <row r="36" spans="1:2" x14ac:dyDescent="0.3">
      <c r="A36" s="1">
        <v>45627</v>
      </c>
      <c r="B36">
        <v>1365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opLeftCell="A62" zoomScaleNormal="100" workbookViewId="0">
      <selection activeCell="B23" sqref="B23:K59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>
        <v>1300</v>
      </c>
      <c r="D3">
        <v>1478</v>
      </c>
      <c r="F3" s="2" t="s">
        <v>23</v>
      </c>
      <c r="H3" s="3">
        <v>1294.2916666666665</v>
      </c>
      <c r="I3" s="3">
        <v>1441.375</v>
      </c>
      <c r="J3" s="4"/>
      <c r="K3" s="4">
        <f>100*C3/H3</f>
        <v>100.44103917844382</v>
      </c>
      <c r="L3">
        <f>100*D3/I3</f>
        <v>102.54097649813546</v>
      </c>
      <c r="M3" s="4">
        <f>AVERAGE(J3:L3)</f>
        <v>101.49100783828965</v>
      </c>
      <c r="N3">
        <f t="shared" ref="N3:N14" si="0">M3*($L$15/$M$15)</f>
        <v>96.879695544664983</v>
      </c>
      <c r="O3">
        <v>96.879695544664983</v>
      </c>
      <c r="AC3" s="8"/>
    </row>
    <row r="4" spans="1:29" x14ac:dyDescent="0.3">
      <c r="A4" t="s">
        <v>7</v>
      </c>
      <c r="C4">
        <v>1341</v>
      </c>
      <c r="D4">
        <v>1540</v>
      </c>
      <c r="F4" s="2" t="s">
        <v>7</v>
      </c>
      <c r="H4" s="3">
        <v>1295.5833333333335</v>
      </c>
      <c r="I4" s="3">
        <v>1456</v>
      </c>
      <c r="J4" s="4"/>
      <c r="K4" s="4">
        <f t="shared" ref="K4:K14" si="1">100*C4/H4</f>
        <v>103.50549945327072</v>
      </c>
      <c r="L4">
        <f t="shared" ref="L4:L8" si="2">100*D4/I4</f>
        <v>105.76923076923077</v>
      </c>
      <c r="M4" s="4">
        <f t="shared" ref="M4:M14" si="3">AVERAGE(J4:L4)</f>
        <v>104.63736511125074</v>
      </c>
      <c r="N4">
        <f t="shared" si="0"/>
        <v>99.883095955910221</v>
      </c>
      <c r="O4">
        <v>99.883095955910221</v>
      </c>
      <c r="AC4" s="8"/>
    </row>
    <row r="5" spans="1:29" x14ac:dyDescent="0.3">
      <c r="A5" t="s">
        <v>8</v>
      </c>
      <c r="C5">
        <v>1562</v>
      </c>
      <c r="D5">
        <v>1723</v>
      </c>
      <c r="F5" s="2" t="s">
        <v>24</v>
      </c>
      <c r="H5" s="3">
        <v>1296.3333333333335</v>
      </c>
      <c r="I5" s="3">
        <v>1470.1666666666665</v>
      </c>
      <c r="J5" s="4"/>
      <c r="K5" s="4">
        <f t="shared" si="1"/>
        <v>120.49370017999485</v>
      </c>
      <c r="L5">
        <f t="shared" si="2"/>
        <v>117.1975966443714</v>
      </c>
      <c r="M5" s="4">
        <f t="shared" si="3"/>
        <v>118.84564841218312</v>
      </c>
      <c r="N5">
        <f t="shared" si="0"/>
        <v>113.44581633602418</v>
      </c>
      <c r="O5">
        <v>113.44581633602418</v>
      </c>
      <c r="AC5" s="8"/>
    </row>
    <row r="6" spans="1:29" x14ac:dyDescent="0.3">
      <c r="A6" t="s">
        <v>9</v>
      </c>
      <c r="C6">
        <v>1620</v>
      </c>
      <c r="D6">
        <v>1998</v>
      </c>
      <c r="F6" s="2" t="s">
        <v>25</v>
      </c>
      <c r="H6" s="3">
        <v>1299.9166666666665</v>
      </c>
      <c r="I6" s="3">
        <v>1480.625</v>
      </c>
      <c r="J6" s="4"/>
      <c r="K6" s="4">
        <f t="shared" si="1"/>
        <v>124.62337329315983</v>
      </c>
      <c r="L6">
        <f t="shared" si="2"/>
        <v>134.94301392992824</v>
      </c>
      <c r="M6" s="4">
        <f t="shared" si="3"/>
        <v>129.78319361154405</v>
      </c>
      <c r="N6">
        <f t="shared" si="0"/>
        <v>123.88640680299886</v>
      </c>
      <c r="O6">
        <v>123.88640680299886</v>
      </c>
      <c r="AC6" s="8"/>
    </row>
    <row r="7" spans="1:29" x14ac:dyDescent="0.3">
      <c r="A7" t="s">
        <v>10</v>
      </c>
      <c r="C7">
        <v>1574</v>
      </c>
      <c r="D7">
        <v>1912</v>
      </c>
      <c r="F7" s="2" t="s">
        <v>26</v>
      </c>
      <c r="H7" s="3">
        <v>1304.5416666666665</v>
      </c>
      <c r="I7" s="3">
        <v>1492.2083333333335</v>
      </c>
      <c r="J7" s="4"/>
      <c r="K7" s="4">
        <f t="shared" si="1"/>
        <v>120.65540259989142</v>
      </c>
      <c r="L7">
        <f t="shared" si="2"/>
        <v>128.13224248178034</v>
      </c>
      <c r="M7" s="4">
        <f t="shared" si="3"/>
        <v>124.39382254083588</v>
      </c>
      <c r="N7">
        <f t="shared" si="0"/>
        <v>118.74190543653937</v>
      </c>
      <c r="O7">
        <v>118.74190543653937</v>
      </c>
      <c r="AC7" s="8"/>
    </row>
    <row r="8" spans="1:29" x14ac:dyDescent="0.3">
      <c r="A8" t="s">
        <v>11</v>
      </c>
      <c r="C8">
        <v>1564</v>
      </c>
      <c r="D8">
        <v>1794</v>
      </c>
      <c r="F8" s="2" t="s">
        <v>27</v>
      </c>
      <c r="H8" s="3">
        <v>1308.4583333333335</v>
      </c>
      <c r="I8" s="3">
        <v>1507.2916666666667</v>
      </c>
      <c r="J8" s="4"/>
      <c r="K8" s="4">
        <f t="shared" si="1"/>
        <v>119.5299812119861</v>
      </c>
      <c r="L8">
        <f t="shared" si="2"/>
        <v>119.02142363510711</v>
      </c>
      <c r="M8" s="4">
        <f t="shared" si="3"/>
        <v>119.2757024235466</v>
      </c>
      <c r="N8">
        <f t="shared" si="0"/>
        <v>113.8563305537472</v>
      </c>
      <c r="O8">
        <v>113.8563305537472</v>
      </c>
      <c r="AC8" s="8"/>
    </row>
    <row r="9" spans="1:29" x14ac:dyDescent="0.3">
      <c r="A9" t="s">
        <v>12</v>
      </c>
      <c r="B9">
        <v>1225</v>
      </c>
      <c r="C9">
        <v>1248</v>
      </c>
      <c r="F9" s="2" t="s">
        <v>28</v>
      </c>
      <c r="G9" s="3">
        <v>907.16666666666674</v>
      </c>
      <c r="H9" s="3">
        <v>1318.3333333333335</v>
      </c>
      <c r="J9" s="4">
        <f>100*B9/G9</f>
        <v>135.035825831343</v>
      </c>
      <c r="K9" s="4">
        <f t="shared" si="1"/>
        <v>94.664981036662439</v>
      </c>
      <c r="M9" s="4">
        <f t="shared" si="3"/>
        <v>114.85040343400271</v>
      </c>
      <c r="N9">
        <f t="shared" si="0"/>
        <v>109.63209800415791</v>
      </c>
      <c r="O9">
        <v>109.63209800415791</v>
      </c>
      <c r="AC9" s="8"/>
    </row>
    <row r="10" spans="1:29" x14ac:dyDescent="0.3">
      <c r="A10" t="s">
        <v>13</v>
      </c>
      <c r="B10">
        <v>1165</v>
      </c>
      <c r="C10">
        <v>1173</v>
      </c>
      <c r="F10" s="2" t="s">
        <v>29</v>
      </c>
      <c r="G10" s="3">
        <v>967.58333333333337</v>
      </c>
      <c r="H10" s="3">
        <v>1334.0416666666665</v>
      </c>
      <c r="J10" s="4">
        <f t="shared" ref="J10:J14" si="4">100*B10/G10</f>
        <v>120.4030660580484</v>
      </c>
      <c r="K10" s="4">
        <f t="shared" si="1"/>
        <v>87.928288096948506</v>
      </c>
      <c r="M10" s="4">
        <f t="shared" si="3"/>
        <v>104.16567707749846</v>
      </c>
      <c r="N10">
        <f t="shared" si="0"/>
        <v>99.432839385645451</v>
      </c>
      <c r="O10">
        <v>99.432839385645451</v>
      </c>
      <c r="AC10" s="8"/>
    </row>
    <row r="11" spans="1:29" x14ac:dyDescent="0.3">
      <c r="A11" t="s">
        <v>14</v>
      </c>
      <c r="B11">
        <v>1149</v>
      </c>
      <c r="C11">
        <v>1159</v>
      </c>
      <c r="F11" s="2" t="s">
        <v>30</v>
      </c>
      <c r="G11" s="3">
        <v>1044.5</v>
      </c>
      <c r="H11" s="3">
        <v>1349.0416666666665</v>
      </c>
      <c r="J11" s="4">
        <f t="shared" si="4"/>
        <v>110.00478697941598</v>
      </c>
      <c r="K11" s="4">
        <f t="shared" si="1"/>
        <v>85.91283936127499</v>
      </c>
      <c r="M11" s="4">
        <f t="shared" si="3"/>
        <v>97.958813170345479</v>
      </c>
      <c r="N11">
        <f t="shared" si="0"/>
        <v>93.507988520332745</v>
      </c>
      <c r="O11">
        <v>93.507988520332745</v>
      </c>
      <c r="AC11" s="8"/>
    </row>
    <row r="12" spans="1:29" x14ac:dyDescent="0.3">
      <c r="A12" t="s">
        <v>15</v>
      </c>
      <c r="B12">
        <v>1058</v>
      </c>
      <c r="C12">
        <v>1134</v>
      </c>
      <c r="F12" s="2" t="s">
        <v>31</v>
      </c>
      <c r="G12" s="3">
        <v>1128.4583333333335</v>
      </c>
      <c r="H12" s="3">
        <v>1371.5</v>
      </c>
      <c r="J12" s="4">
        <f t="shared" si="4"/>
        <v>93.756230845918097</v>
      </c>
      <c r="K12" s="4">
        <f t="shared" si="1"/>
        <v>82.683193583667517</v>
      </c>
      <c r="M12" s="4">
        <f t="shared" si="3"/>
        <v>88.219712214792807</v>
      </c>
      <c r="N12">
        <f t="shared" si="0"/>
        <v>84.211390175816788</v>
      </c>
      <c r="O12">
        <v>84.211390175816788</v>
      </c>
      <c r="AC12" s="8"/>
    </row>
    <row r="13" spans="1:29" x14ac:dyDescent="0.3">
      <c r="A13" t="s">
        <v>16</v>
      </c>
      <c r="B13">
        <v>996</v>
      </c>
      <c r="C13">
        <v>1031</v>
      </c>
      <c r="F13" s="2" t="s">
        <v>32</v>
      </c>
      <c r="G13" s="3">
        <v>1202.7916666666665</v>
      </c>
      <c r="H13" s="3">
        <v>1401.3333333333335</v>
      </c>
      <c r="J13" s="4">
        <f t="shared" si="4"/>
        <v>82.807357882703442</v>
      </c>
      <c r="K13" s="4">
        <f t="shared" si="1"/>
        <v>73.572787821122731</v>
      </c>
      <c r="M13" s="4">
        <f t="shared" si="3"/>
        <v>78.190072851913087</v>
      </c>
      <c r="N13">
        <f t="shared" si="0"/>
        <v>74.637454232183444</v>
      </c>
      <c r="O13">
        <v>74.637454232183444</v>
      </c>
      <c r="AC13" s="8"/>
    </row>
    <row r="14" spans="1:29" x14ac:dyDescent="0.3">
      <c r="A14" t="s">
        <v>6</v>
      </c>
      <c r="B14">
        <v>996</v>
      </c>
      <c r="C14">
        <v>1025</v>
      </c>
      <c r="F14" s="2" t="s">
        <v>33</v>
      </c>
      <c r="G14" s="3">
        <v>1265.8333333333333</v>
      </c>
      <c r="H14" s="3">
        <v>1425</v>
      </c>
      <c r="J14" s="4">
        <f t="shared" si="4"/>
        <v>78.683344305464132</v>
      </c>
      <c r="K14" s="4">
        <f t="shared" si="1"/>
        <v>71.929824561403507</v>
      </c>
      <c r="M14" s="4">
        <f t="shared" si="3"/>
        <v>75.306584433433812</v>
      </c>
      <c r="N14">
        <f t="shared" si="0"/>
        <v>71.884979051978874</v>
      </c>
      <c r="O14">
        <v>71.884979051978874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1257.1180031196363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 t="s">
        <v>23</v>
      </c>
      <c r="D24">
        <v>612</v>
      </c>
      <c r="G24">
        <v>96.879695544664983</v>
      </c>
      <c r="H24" s="3">
        <f>D24/G24*100</f>
        <v>631.71131634888991</v>
      </c>
      <c r="I24" s="3">
        <f t="shared" ref="I24:I70" si="5">25.463*B24+779.77</f>
        <v>805.23299999999995</v>
      </c>
      <c r="J24" s="3">
        <f>I24*G24/100</f>
        <v>780.1072788251721</v>
      </c>
      <c r="K24">
        <f>ABS((D24-J24)/D24)*100</f>
        <v>27.468509611956225</v>
      </c>
      <c r="AC24" s="8"/>
    </row>
    <row r="25" spans="1:29" x14ac:dyDescent="0.3">
      <c r="B25">
        <v>2</v>
      </c>
      <c r="C25" s="1" t="s">
        <v>7</v>
      </c>
      <c r="D25">
        <v>579</v>
      </c>
      <c r="G25">
        <v>99.883095955910221</v>
      </c>
      <c r="H25" s="3">
        <f t="shared" ref="H25:H35" si="6">D25/G25*100</f>
        <v>579.67766663498162</v>
      </c>
      <c r="I25" s="3">
        <f t="shared" si="5"/>
        <v>830.69600000000003</v>
      </c>
      <c r="J25" s="3">
        <f t="shared" ref="J25:J35" si="7">I25*G25/100</f>
        <v>829.72488278190792</v>
      </c>
      <c r="K25">
        <f t="shared" ref="K25:K59" si="8">ABS((D25-J25)/D25)*100</f>
        <v>43.303088563369244</v>
      </c>
      <c r="AC25" s="8"/>
    </row>
    <row r="26" spans="1:29" x14ac:dyDescent="0.3">
      <c r="B26">
        <v>3</v>
      </c>
      <c r="C26" s="1" t="s">
        <v>24</v>
      </c>
      <c r="D26">
        <v>478</v>
      </c>
      <c r="G26">
        <v>113.44581633602418</v>
      </c>
      <c r="H26" s="3">
        <f t="shared" si="6"/>
        <v>421.34652068981887</v>
      </c>
      <c r="I26" s="3">
        <f t="shared" si="5"/>
        <v>856.15899999999999</v>
      </c>
      <c r="J26" s="3">
        <f t="shared" si="7"/>
        <v>971.27656668434122</v>
      </c>
      <c r="K26">
        <f t="shared" si="8"/>
        <v>103.19593445279105</v>
      </c>
      <c r="AC26" s="8"/>
    </row>
    <row r="27" spans="1:29" x14ac:dyDescent="0.3">
      <c r="B27">
        <v>4</v>
      </c>
      <c r="C27" s="1" t="s">
        <v>25</v>
      </c>
      <c r="D27">
        <v>689</v>
      </c>
      <c r="G27">
        <v>123.88640680299886</v>
      </c>
      <c r="H27" s="3">
        <f t="shared" si="6"/>
        <v>556.1546401903729</v>
      </c>
      <c r="I27" s="3">
        <f t="shared" si="5"/>
        <v>881.62199999999996</v>
      </c>
      <c r="J27" s="3">
        <f t="shared" si="7"/>
        <v>1092.2098173847346</v>
      </c>
      <c r="K27">
        <f t="shared" si="8"/>
        <v>58.52101848835045</v>
      </c>
      <c r="AC27" s="8"/>
    </row>
    <row r="28" spans="1:29" x14ac:dyDescent="0.3">
      <c r="B28">
        <v>5</v>
      </c>
      <c r="C28" s="1" t="s">
        <v>26</v>
      </c>
      <c r="D28">
        <v>721</v>
      </c>
      <c r="G28">
        <v>118.74190543653937</v>
      </c>
      <c r="H28" s="3">
        <f t="shared" si="6"/>
        <v>607.19928432118047</v>
      </c>
      <c r="I28" s="3">
        <f t="shared" si="5"/>
        <v>907.08500000000004</v>
      </c>
      <c r="J28" s="3">
        <f t="shared" si="7"/>
        <v>1077.090012929033</v>
      </c>
      <c r="K28">
        <f t="shared" si="8"/>
        <v>49.388351307771572</v>
      </c>
      <c r="AC28" s="8"/>
    </row>
    <row r="29" spans="1:29" x14ac:dyDescent="0.3">
      <c r="B29">
        <v>6</v>
      </c>
      <c r="C29" s="1" t="s">
        <v>27</v>
      </c>
      <c r="D29">
        <v>904</v>
      </c>
      <c r="E29" s="3">
        <f>AVERAGE(D24:D35)</f>
        <v>878.5</v>
      </c>
      <c r="G29">
        <v>113.8563305537472</v>
      </c>
      <c r="H29" s="3">
        <f t="shared" si="6"/>
        <v>793.98307990723129</v>
      </c>
      <c r="I29" s="3">
        <f t="shared" si="5"/>
        <v>932.548</v>
      </c>
      <c r="J29" s="3">
        <f t="shared" si="7"/>
        <v>1061.7649334523585</v>
      </c>
      <c r="K29">
        <f t="shared" si="8"/>
        <v>17.451873169508684</v>
      </c>
      <c r="AC29" s="8"/>
    </row>
    <row r="30" spans="1:29" x14ac:dyDescent="0.3">
      <c r="B30">
        <v>7</v>
      </c>
      <c r="C30" s="1" t="s">
        <v>28</v>
      </c>
      <c r="D30">
        <v>1225</v>
      </c>
      <c r="E30" s="3">
        <f t="shared" ref="E30:E53" si="9">AVERAGE(D25:D36)</f>
        <v>935.83333333333337</v>
      </c>
      <c r="F30" s="3">
        <f>AVERAGE(E29:E30)</f>
        <v>907.16666666666674</v>
      </c>
      <c r="G30">
        <v>109.63209800415791</v>
      </c>
      <c r="H30" s="3">
        <f t="shared" si="6"/>
        <v>1117.3734903381496</v>
      </c>
      <c r="I30" s="3">
        <f t="shared" si="5"/>
        <v>958.01099999999997</v>
      </c>
      <c r="J30" s="3">
        <f t="shared" si="7"/>
        <v>1050.2875584106132</v>
      </c>
      <c r="K30">
        <f t="shared" si="8"/>
        <v>14.262240129745862</v>
      </c>
      <c r="AC30" s="8"/>
    </row>
    <row r="31" spans="1:29" x14ac:dyDescent="0.3">
      <c r="B31">
        <v>8</v>
      </c>
      <c r="C31" s="1" t="s">
        <v>29</v>
      </c>
      <c r="D31">
        <v>1165</v>
      </c>
      <c r="E31" s="3">
        <f t="shared" si="9"/>
        <v>999.33333333333337</v>
      </c>
      <c r="F31" s="3">
        <f t="shared" ref="F31:F53" si="10">AVERAGE(E30:E31)</f>
        <v>967.58333333333337</v>
      </c>
      <c r="G31">
        <v>99.432839385645451</v>
      </c>
      <c r="H31" s="3">
        <f t="shared" si="6"/>
        <v>1171.6451096016719</v>
      </c>
      <c r="I31" s="3">
        <f t="shared" si="5"/>
        <v>983.47399999999993</v>
      </c>
      <c r="J31" s="3">
        <f t="shared" si="7"/>
        <v>977.89612281958262</v>
      </c>
      <c r="K31">
        <f t="shared" si="8"/>
        <v>16.060418642095915</v>
      </c>
      <c r="AC31" s="8"/>
    </row>
    <row r="32" spans="1:29" x14ac:dyDescent="0.3">
      <c r="B32">
        <v>9</v>
      </c>
      <c r="C32" s="1" t="s">
        <v>30</v>
      </c>
      <c r="D32">
        <v>1149</v>
      </c>
      <c r="E32" s="3">
        <f t="shared" si="9"/>
        <v>1089.6666666666667</v>
      </c>
      <c r="F32" s="3">
        <f t="shared" si="10"/>
        <v>1044.5</v>
      </c>
      <c r="G32">
        <v>93.507988520332745</v>
      </c>
      <c r="H32" s="3">
        <f t="shared" si="6"/>
        <v>1228.7720206388108</v>
      </c>
      <c r="I32" s="3">
        <f t="shared" si="5"/>
        <v>1008.937</v>
      </c>
      <c r="J32" s="3">
        <f t="shared" si="7"/>
        <v>943.43669413738962</v>
      </c>
      <c r="K32">
        <f t="shared" si="8"/>
        <v>17.890627142089677</v>
      </c>
      <c r="AC32" s="8"/>
    </row>
    <row r="33" spans="1:29" x14ac:dyDescent="0.3">
      <c r="B33">
        <v>10</v>
      </c>
      <c r="C33" s="1" t="s">
        <v>31</v>
      </c>
      <c r="D33">
        <v>1058</v>
      </c>
      <c r="E33" s="3">
        <f t="shared" si="9"/>
        <v>1167.25</v>
      </c>
      <c r="F33" s="3">
        <f t="shared" si="10"/>
        <v>1128.4583333333335</v>
      </c>
      <c r="G33">
        <v>84.211390175816788</v>
      </c>
      <c r="H33" s="3">
        <f t="shared" si="6"/>
        <v>1256.3621118130272</v>
      </c>
      <c r="I33" s="3">
        <f t="shared" si="5"/>
        <v>1034.4000000000001</v>
      </c>
      <c r="J33" s="3">
        <f t="shared" si="7"/>
        <v>871.08261997864884</v>
      </c>
      <c r="K33">
        <f t="shared" si="8"/>
        <v>17.667049151356444</v>
      </c>
      <c r="AC33" s="8"/>
    </row>
    <row r="34" spans="1:29" x14ac:dyDescent="0.3">
      <c r="B34">
        <v>11</v>
      </c>
      <c r="C34" s="1" t="s">
        <v>32</v>
      </c>
      <c r="D34">
        <v>996</v>
      </c>
      <c r="E34" s="3">
        <f t="shared" si="9"/>
        <v>1238.3333333333333</v>
      </c>
      <c r="F34" s="3">
        <f t="shared" si="10"/>
        <v>1202.7916666666665</v>
      </c>
      <c r="G34">
        <v>74.637454232183444</v>
      </c>
      <c r="H34" s="3">
        <f t="shared" si="6"/>
        <v>1334.4506591846321</v>
      </c>
      <c r="I34" s="3">
        <f t="shared" si="5"/>
        <v>1059.8630000000001</v>
      </c>
      <c r="J34" s="3">
        <f t="shared" si="7"/>
        <v>791.05476154884639</v>
      </c>
      <c r="K34">
        <f t="shared" si="8"/>
        <v>20.576831169794541</v>
      </c>
      <c r="AC34" s="8"/>
    </row>
    <row r="35" spans="1:29" x14ac:dyDescent="0.3">
      <c r="B35">
        <v>12</v>
      </c>
      <c r="C35" s="1" t="s">
        <v>33</v>
      </c>
      <c r="D35">
        <v>966</v>
      </c>
      <c r="E35" s="3">
        <f t="shared" si="9"/>
        <v>1293.3333333333333</v>
      </c>
      <c r="F35" s="3">
        <f t="shared" si="10"/>
        <v>1265.8333333333333</v>
      </c>
      <c r="G35">
        <v>71.884979051978874</v>
      </c>
      <c r="H35" s="3">
        <f t="shared" si="6"/>
        <v>1343.8134263091331</v>
      </c>
      <c r="I35" s="3">
        <f t="shared" si="5"/>
        <v>1085.326</v>
      </c>
      <c r="J35" s="3">
        <f t="shared" si="7"/>
        <v>780.18636774568017</v>
      </c>
      <c r="K35">
        <f t="shared" si="8"/>
        <v>19.235365657797086</v>
      </c>
      <c r="AC35" s="8"/>
    </row>
    <row r="36" spans="1:29" x14ac:dyDescent="0.3">
      <c r="A36" t="s">
        <v>21</v>
      </c>
      <c r="B36">
        <v>13</v>
      </c>
      <c r="C36" s="1" t="s">
        <v>23</v>
      </c>
      <c r="D36">
        <v>1300</v>
      </c>
      <c r="E36" s="3">
        <f t="shared" si="9"/>
        <v>1295.25</v>
      </c>
      <c r="F36" s="3">
        <f t="shared" si="10"/>
        <v>1294.2916666666665</v>
      </c>
      <c r="G36">
        <v>96.879695544664983</v>
      </c>
      <c r="H36" s="3">
        <f t="shared" ref="H36:H59" si="11">D36/G36*100</f>
        <v>1341.8704432247662</v>
      </c>
      <c r="I36" s="3">
        <f t="shared" si="5"/>
        <v>1110.789</v>
      </c>
      <c r="J36" s="3">
        <f t="shared" ref="J36:J71" si="12">I36*G36/100</f>
        <v>1076.1290013436287</v>
      </c>
      <c r="K36">
        <f t="shared" si="8"/>
        <v>17.220846050490099</v>
      </c>
      <c r="AC36" s="8"/>
    </row>
    <row r="37" spans="1:29" x14ac:dyDescent="0.3">
      <c r="B37">
        <v>14</v>
      </c>
      <c r="C37" s="1" t="s">
        <v>7</v>
      </c>
      <c r="D37">
        <v>1341</v>
      </c>
      <c r="E37" s="3">
        <f t="shared" si="9"/>
        <v>1295.9166666666667</v>
      </c>
      <c r="F37" s="3">
        <f t="shared" si="10"/>
        <v>1295.5833333333335</v>
      </c>
      <c r="G37">
        <v>99.883095955910221</v>
      </c>
      <c r="H37" s="3">
        <f t="shared" si="11"/>
        <v>1342.5695180613302</v>
      </c>
      <c r="I37" s="3">
        <f t="shared" si="5"/>
        <v>1136.252</v>
      </c>
      <c r="J37" s="3">
        <f t="shared" si="12"/>
        <v>1134.923675460949</v>
      </c>
      <c r="K37">
        <f t="shared" si="8"/>
        <v>15.36736200887778</v>
      </c>
      <c r="AC37" s="8"/>
    </row>
    <row r="38" spans="1:29" x14ac:dyDescent="0.3">
      <c r="B38">
        <v>15</v>
      </c>
      <c r="C38" s="1" t="s">
        <v>24</v>
      </c>
      <c r="D38">
        <v>1562</v>
      </c>
      <c r="E38" s="3">
        <f t="shared" si="9"/>
        <v>1296.75</v>
      </c>
      <c r="F38" s="3">
        <f t="shared" si="10"/>
        <v>1296.3333333333335</v>
      </c>
      <c r="G38">
        <v>113.44581633602418</v>
      </c>
      <c r="H38" s="3">
        <f t="shared" si="11"/>
        <v>1376.8687558943452</v>
      </c>
      <c r="I38" s="3">
        <f t="shared" si="5"/>
        <v>1161.7149999999999</v>
      </c>
      <c r="J38" s="3">
        <f t="shared" si="12"/>
        <v>1317.9170652480432</v>
      </c>
      <c r="K38">
        <f t="shared" si="8"/>
        <v>15.626308242762921</v>
      </c>
      <c r="AC38" s="8"/>
    </row>
    <row r="39" spans="1:29" x14ac:dyDescent="0.3">
      <c r="B39">
        <v>16</v>
      </c>
      <c r="C39" s="1" t="s">
        <v>25</v>
      </c>
      <c r="D39">
        <v>1620</v>
      </c>
      <c r="E39" s="3">
        <f t="shared" si="9"/>
        <v>1303.0833333333333</v>
      </c>
      <c r="F39" s="3">
        <f t="shared" si="10"/>
        <v>1299.9166666666665</v>
      </c>
      <c r="G39">
        <v>123.88640680299886</v>
      </c>
      <c r="H39" s="3">
        <f t="shared" si="11"/>
        <v>1307.6495168481918</v>
      </c>
      <c r="I39" s="3">
        <f t="shared" si="5"/>
        <v>1187.1779999999999</v>
      </c>
      <c r="J39" s="3">
        <f t="shared" si="12"/>
        <v>1470.7521665557058</v>
      </c>
      <c r="K39">
        <f t="shared" si="8"/>
        <v>9.2128292249564332</v>
      </c>
      <c r="AC39" s="8"/>
    </row>
    <row r="40" spans="1:29" x14ac:dyDescent="0.3">
      <c r="B40">
        <v>17</v>
      </c>
      <c r="C40" s="1" t="s">
        <v>26</v>
      </c>
      <c r="D40">
        <v>1574</v>
      </c>
      <c r="E40" s="3">
        <f t="shared" si="9"/>
        <v>1306</v>
      </c>
      <c r="F40" s="3">
        <f t="shared" si="10"/>
        <v>1304.5416666666665</v>
      </c>
      <c r="G40">
        <v>118.74190543653937</v>
      </c>
      <c r="H40" s="3">
        <f t="shared" si="11"/>
        <v>1325.5640409452678</v>
      </c>
      <c r="I40" s="3">
        <f t="shared" si="5"/>
        <v>1212.6410000000001</v>
      </c>
      <c r="J40" s="3">
        <f t="shared" si="12"/>
        <v>1439.9130295047053</v>
      </c>
      <c r="K40">
        <f t="shared" si="8"/>
        <v>8.5188672487480765</v>
      </c>
      <c r="AC40" s="8"/>
    </row>
    <row r="41" spans="1:29" x14ac:dyDescent="0.3">
      <c r="B41">
        <v>18</v>
      </c>
      <c r="C41" s="1" t="s">
        <v>27</v>
      </c>
      <c r="D41">
        <v>1564</v>
      </c>
      <c r="E41" s="3">
        <f t="shared" si="9"/>
        <v>1310.9166666666667</v>
      </c>
      <c r="F41" s="3">
        <f t="shared" si="10"/>
        <v>1308.4583333333335</v>
      </c>
      <c r="G41">
        <v>113.8563305537472</v>
      </c>
      <c r="H41" s="3">
        <f t="shared" si="11"/>
        <v>1373.6609922288824</v>
      </c>
      <c r="I41" s="3">
        <f t="shared" si="5"/>
        <v>1238.104</v>
      </c>
      <c r="J41" s="3">
        <f t="shared" si="12"/>
        <v>1409.6597828391664</v>
      </c>
      <c r="K41">
        <f t="shared" si="8"/>
        <v>9.8683003299765737</v>
      </c>
      <c r="AC41" s="8"/>
    </row>
    <row r="42" spans="1:29" x14ac:dyDescent="0.3">
      <c r="B42">
        <v>19</v>
      </c>
      <c r="C42" s="1" t="s">
        <v>28</v>
      </c>
      <c r="D42">
        <v>1248</v>
      </c>
      <c r="E42" s="3">
        <f t="shared" si="9"/>
        <v>1325.75</v>
      </c>
      <c r="F42" s="3">
        <f t="shared" si="10"/>
        <v>1318.3333333333335</v>
      </c>
      <c r="G42">
        <v>109.63209800415791</v>
      </c>
      <c r="H42" s="3">
        <f t="shared" si="11"/>
        <v>1138.3527477077637</v>
      </c>
      <c r="I42" s="3">
        <f t="shared" si="5"/>
        <v>1263.567</v>
      </c>
      <c r="J42" s="3">
        <f t="shared" si="12"/>
        <v>1385.2750117881981</v>
      </c>
      <c r="K42">
        <f t="shared" si="8"/>
        <v>10.999600303541513</v>
      </c>
      <c r="AC42" s="8"/>
    </row>
    <row r="43" spans="1:29" x14ac:dyDescent="0.3">
      <c r="B43">
        <v>20</v>
      </c>
      <c r="C43" s="1" t="s">
        <v>29</v>
      </c>
      <c r="D43">
        <v>1173</v>
      </c>
      <c r="E43" s="3">
        <f t="shared" si="9"/>
        <v>1342.3333333333333</v>
      </c>
      <c r="F43" s="3">
        <f t="shared" si="10"/>
        <v>1334.0416666666665</v>
      </c>
      <c r="G43">
        <v>99.432839385645451</v>
      </c>
      <c r="H43" s="3">
        <f t="shared" si="11"/>
        <v>1179.6907412555888</v>
      </c>
      <c r="I43" s="3">
        <f t="shared" si="5"/>
        <v>1289.03</v>
      </c>
      <c r="J43" s="3">
        <f t="shared" si="12"/>
        <v>1281.7191295327857</v>
      </c>
      <c r="K43">
        <f t="shared" si="8"/>
        <v>9.268467990859822</v>
      </c>
      <c r="AC43" s="8"/>
    </row>
    <row r="44" spans="1:29" x14ac:dyDescent="0.3">
      <c r="B44">
        <v>21</v>
      </c>
      <c r="C44" s="1" t="s">
        <v>30</v>
      </c>
      <c r="D44">
        <v>1159</v>
      </c>
      <c r="E44" s="3">
        <f t="shared" si="9"/>
        <v>1355.75</v>
      </c>
      <c r="F44" s="3">
        <f t="shared" si="10"/>
        <v>1349.0416666666665</v>
      </c>
      <c r="G44">
        <v>93.507988520332745</v>
      </c>
      <c r="H44" s="3">
        <f t="shared" si="11"/>
        <v>1239.466294099549</v>
      </c>
      <c r="I44" s="3">
        <f t="shared" si="5"/>
        <v>1314.4929999999999</v>
      </c>
      <c r="J44" s="3">
        <f t="shared" si="12"/>
        <v>1229.1559635405774</v>
      </c>
      <c r="K44">
        <f t="shared" si="8"/>
        <v>6.0531461208436088</v>
      </c>
      <c r="AC44" s="8"/>
    </row>
    <row r="45" spans="1:29" x14ac:dyDescent="0.3">
      <c r="B45">
        <v>22</v>
      </c>
      <c r="C45" s="1" t="s">
        <v>31</v>
      </c>
      <c r="D45">
        <v>1134</v>
      </c>
      <c r="E45" s="3">
        <f t="shared" si="9"/>
        <v>1387.25</v>
      </c>
      <c r="F45" s="3">
        <f t="shared" si="10"/>
        <v>1371.5</v>
      </c>
      <c r="G45">
        <v>84.211390175816788</v>
      </c>
      <c r="H45" s="3">
        <f t="shared" si="11"/>
        <v>1346.6111860075357</v>
      </c>
      <c r="I45" s="3">
        <f t="shared" si="5"/>
        <v>1339.9560000000001</v>
      </c>
      <c r="J45" s="3">
        <f t="shared" si="12"/>
        <v>1128.3955753442676</v>
      </c>
      <c r="K45">
        <f t="shared" si="8"/>
        <v>0.49421734177534155</v>
      </c>
      <c r="AC45" s="8"/>
    </row>
    <row r="46" spans="1:29" x14ac:dyDescent="0.3">
      <c r="B46">
        <v>23</v>
      </c>
      <c r="C46" s="1" t="s">
        <v>32</v>
      </c>
      <c r="D46">
        <v>1031</v>
      </c>
      <c r="E46" s="3">
        <f t="shared" si="9"/>
        <v>1415.4166666666667</v>
      </c>
      <c r="F46" s="3">
        <f t="shared" si="10"/>
        <v>1401.3333333333335</v>
      </c>
      <c r="G46">
        <v>74.637454232183444</v>
      </c>
      <c r="H46" s="3">
        <f t="shared" si="11"/>
        <v>1381.3440056419233</v>
      </c>
      <c r="I46" s="3">
        <f t="shared" si="5"/>
        <v>1365.4189999999999</v>
      </c>
      <c r="J46" s="3">
        <f t="shared" si="12"/>
        <v>1019.1139812025368</v>
      </c>
      <c r="K46">
        <f t="shared" si="8"/>
        <v>1.152863122935323</v>
      </c>
      <c r="AC46" s="8"/>
    </row>
    <row r="47" spans="1:29" x14ac:dyDescent="0.3">
      <c r="B47">
        <v>24</v>
      </c>
      <c r="C47" s="1" t="s">
        <v>33</v>
      </c>
      <c r="D47">
        <v>1025</v>
      </c>
      <c r="E47" s="3">
        <f t="shared" si="9"/>
        <v>1434.5833333333333</v>
      </c>
      <c r="F47" s="3">
        <f t="shared" si="10"/>
        <v>1425</v>
      </c>
      <c r="G47">
        <v>71.884979051978874</v>
      </c>
      <c r="H47" s="3">
        <f t="shared" si="11"/>
        <v>1425.8889875433349</v>
      </c>
      <c r="I47" s="3">
        <f t="shared" si="5"/>
        <v>1390.8820000000001</v>
      </c>
      <c r="J47" s="3">
        <f t="shared" si="12"/>
        <v>999.83523433774496</v>
      </c>
      <c r="K47">
        <f t="shared" si="8"/>
        <v>2.4550990890004911</v>
      </c>
      <c r="AC47" s="8"/>
    </row>
    <row r="48" spans="1:29" x14ac:dyDescent="0.3">
      <c r="A48" t="s">
        <v>22</v>
      </c>
      <c r="B48">
        <v>25</v>
      </c>
      <c r="C48" s="1" t="s">
        <v>23</v>
      </c>
      <c r="D48">
        <v>1478</v>
      </c>
      <c r="E48" s="3">
        <f t="shared" si="9"/>
        <v>1448.1666666666667</v>
      </c>
      <c r="F48" s="3">
        <f t="shared" si="10"/>
        <v>1441.375</v>
      </c>
      <c r="G48">
        <v>96.879695544664983</v>
      </c>
      <c r="H48" s="3">
        <f t="shared" si="11"/>
        <v>1525.6034731432339</v>
      </c>
      <c r="I48" s="3">
        <f t="shared" si="5"/>
        <v>1416.345</v>
      </c>
      <c r="J48" s="3">
        <f t="shared" si="12"/>
        <v>1372.1507238620852</v>
      </c>
      <c r="K48">
        <f t="shared" si="8"/>
        <v>7.1616560309820549</v>
      </c>
      <c r="AC48" s="8"/>
    </row>
    <row r="49" spans="1:29" x14ac:dyDescent="0.3">
      <c r="B49">
        <v>26</v>
      </c>
      <c r="C49" s="1" t="s">
        <v>7</v>
      </c>
      <c r="D49">
        <v>1540</v>
      </c>
      <c r="E49" s="3">
        <f t="shared" si="9"/>
        <v>1463.8333333333333</v>
      </c>
      <c r="F49" s="3">
        <f t="shared" si="10"/>
        <v>1456</v>
      </c>
      <c r="G49">
        <v>99.883095955910221</v>
      </c>
      <c r="H49" s="3">
        <f t="shared" si="11"/>
        <v>1541.8024293918336</v>
      </c>
      <c r="I49" s="3">
        <f t="shared" si="5"/>
        <v>1441.808</v>
      </c>
      <c r="J49" s="3">
        <f t="shared" si="12"/>
        <v>1440.1224681399899</v>
      </c>
      <c r="K49">
        <f t="shared" si="8"/>
        <v>6.4855540168837722</v>
      </c>
      <c r="AC49" s="8"/>
    </row>
    <row r="50" spans="1:29" x14ac:dyDescent="0.3">
      <c r="B50">
        <v>27</v>
      </c>
      <c r="C50" s="1" t="s">
        <v>24</v>
      </c>
      <c r="D50">
        <v>1723</v>
      </c>
      <c r="E50" s="3">
        <f t="shared" si="9"/>
        <v>1476.5</v>
      </c>
      <c r="F50" s="3">
        <f t="shared" si="10"/>
        <v>1470.1666666666665</v>
      </c>
      <c r="G50">
        <v>113.44581633602418</v>
      </c>
      <c r="H50" s="3">
        <f t="shared" si="11"/>
        <v>1518.7867262522132</v>
      </c>
      <c r="I50" s="3">
        <f t="shared" si="5"/>
        <v>1467.271</v>
      </c>
      <c r="J50" s="3">
        <f t="shared" si="12"/>
        <v>1664.5575638117452</v>
      </c>
      <c r="K50">
        <f t="shared" si="8"/>
        <v>3.3918999528876821</v>
      </c>
      <c r="AC50" s="8"/>
    </row>
    <row r="51" spans="1:29" x14ac:dyDescent="0.3">
      <c r="B51">
        <v>28</v>
      </c>
      <c r="C51" s="1" t="s">
        <v>25</v>
      </c>
      <c r="D51">
        <v>1998</v>
      </c>
      <c r="E51" s="3">
        <f t="shared" si="9"/>
        <v>1484.75</v>
      </c>
      <c r="F51" s="3">
        <f t="shared" si="10"/>
        <v>1480.625</v>
      </c>
      <c r="G51">
        <v>123.88640680299886</v>
      </c>
      <c r="H51" s="3">
        <f t="shared" si="11"/>
        <v>1612.7677374461034</v>
      </c>
      <c r="I51" s="3">
        <f t="shared" si="5"/>
        <v>1492.7339999999999</v>
      </c>
      <c r="J51" s="3">
        <f t="shared" si="12"/>
        <v>1849.294515726677</v>
      </c>
      <c r="K51">
        <f t="shared" si="8"/>
        <v>7.4427169305967471</v>
      </c>
      <c r="AB51" s="6"/>
    </row>
    <row r="52" spans="1:29" x14ac:dyDescent="0.3">
      <c r="B52">
        <v>29</v>
      </c>
      <c r="C52" s="1" t="s">
        <v>26</v>
      </c>
      <c r="D52">
        <v>1912</v>
      </c>
      <c r="E52" s="3">
        <f t="shared" si="9"/>
        <v>1499.6666666666667</v>
      </c>
      <c r="F52" s="3">
        <f t="shared" si="10"/>
        <v>1492.2083333333335</v>
      </c>
      <c r="G52">
        <v>118.74190543653937</v>
      </c>
      <c r="H52" s="3">
        <f t="shared" si="11"/>
        <v>1610.2150230542265</v>
      </c>
      <c r="I52" s="3">
        <f t="shared" si="5"/>
        <v>1518.1970000000001</v>
      </c>
      <c r="J52" s="3">
        <f t="shared" si="12"/>
        <v>1802.7360460803777</v>
      </c>
      <c r="K52">
        <f t="shared" si="8"/>
        <v>5.7146419414028395</v>
      </c>
    </row>
    <row r="53" spans="1:29" x14ac:dyDescent="0.3">
      <c r="B53">
        <v>30</v>
      </c>
      <c r="C53" s="1" t="s">
        <v>27</v>
      </c>
      <c r="D53">
        <v>1794</v>
      </c>
      <c r="E53" s="3">
        <f t="shared" si="9"/>
        <v>1514.9166666666667</v>
      </c>
      <c r="F53" s="3">
        <f t="shared" si="10"/>
        <v>1507.2916666666667</v>
      </c>
      <c r="G53">
        <v>113.8563305537472</v>
      </c>
      <c r="H53" s="3">
        <f t="shared" si="11"/>
        <v>1575.6699616743063</v>
      </c>
      <c r="I53" s="3">
        <f t="shared" si="5"/>
        <v>1543.6599999999999</v>
      </c>
      <c r="J53" s="3">
        <f t="shared" si="12"/>
        <v>1757.5546322259738</v>
      </c>
      <c r="K53">
        <f t="shared" si="8"/>
        <v>2.0315143686748147</v>
      </c>
    </row>
    <row r="54" spans="1:29" x14ac:dyDescent="0.3">
      <c r="B54">
        <v>31</v>
      </c>
      <c r="C54" s="1" t="s">
        <v>28</v>
      </c>
      <c r="D54">
        <v>1411</v>
      </c>
      <c r="F54" s="3"/>
      <c r="G54">
        <v>109.63209800415791</v>
      </c>
      <c r="H54" s="3">
        <f t="shared" si="11"/>
        <v>1287.0318325445951</v>
      </c>
      <c r="I54" s="3">
        <f t="shared" si="5"/>
        <v>1569.123</v>
      </c>
      <c r="J54" s="3">
        <f t="shared" si="12"/>
        <v>1720.2624651657827</v>
      </c>
      <c r="K54">
        <f t="shared" si="8"/>
        <v>21.917963512812381</v>
      </c>
    </row>
    <row r="55" spans="1:29" x14ac:dyDescent="0.3">
      <c r="B55">
        <v>32</v>
      </c>
      <c r="C55" s="1" t="s">
        <v>29</v>
      </c>
      <c r="D55">
        <v>1361</v>
      </c>
      <c r="G55">
        <v>99.432839385645451</v>
      </c>
      <c r="H55" s="3">
        <f t="shared" si="11"/>
        <v>1368.7630851226397</v>
      </c>
      <c r="I55" s="3">
        <f t="shared" si="5"/>
        <v>1594.586</v>
      </c>
      <c r="J55" s="3">
        <f t="shared" si="12"/>
        <v>1585.5421362459883</v>
      </c>
      <c r="K55">
        <f t="shared" si="8"/>
        <v>16.498320076854398</v>
      </c>
    </row>
    <row r="56" spans="1:29" x14ac:dyDescent="0.3">
      <c r="B56">
        <v>33</v>
      </c>
      <c r="C56" s="1" t="s">
        <v>30</v>
      </c>
      <c r="D56">
        <v>1311</v>
      </c>
      <c r="G56">
        <v>93.507988520332745</v>
      </c>
      <c r="H56" s="3">
        <f t="shared" si="11"/>
        <v>1402.0192507027684</v>
      </c>
      <c r="I56" s="3">
        <f t="shared" si="5"/>
        <v>1620.049</v>
      </c>
      <c r="J56" s="3">
        <f t="shared" si="12"/>
        <v>1514.8752329437652</v>
      </c>
      <c r="K56">
        <f t="shared" si="8"/>
        <v>15.551123794337546</v>
      </c>
    </row>
    <row r="57" spans="1:29" x14ac:dyDescent="0.3">
      <c r="B57">
        <v>34</v>
      </c>
      <c r="C57" s="1" t="s">
        <v>31</v>
      </c>
      <c r="D57">
        <v>1233</v>
      </c>
      <c r="G57">
        <v>84.211390175816788</v>
      </c>
      <c r="H57" s="3">
        <f t="shared" si="11"/>
        <v>1464.1724800240668</v>
      </c>
      <c r="I57" s="3">
        <f t="shared" si="5"/>
        <v>1645.5120000000002</v>
      </c>
      <c r="J57" s="3">
        <f t="shared" si="12"/>
        <v>1385.7085307098864</v>
      </c>
      <c r="K57">
        <f t="shared" si="8"/>
        <v>12.385120090015118</v>
      </c>
    </row>
    <row r="58" spans="1:29" x14ac:dyDescent="0.3">
      <c r="B58">
        <v>35</v>
      </c>
      <c r="C58" s="1" t="s">
        <v>32</v>
      </c>
      <c r="D58">
        <v>1210</v>
      </c>
      <c r="G58">
        <v>74.637454232183444</v>
      </c>
      <c r="H58" s="3">
        <f t="shared" si="11"/>
        <v>1621.1699775234986</v>
      </c>
      <c r="I58" s="3">
        <f t="shared" si="5"/>
        <v>1670.9749999999999</v>
      </c>
      <c r="J58" s="3">
        <f t="shared" si="12"/>
        <v>1247.1732008562271</v>
      </c>
      <c r="K58">
        <f t="shared" si="8"/>
        <v>3.0721653600187722</v>
      </c>
    </row>
    <row r="59" spans="1:29" x14ac:dyDescent="0.3">
      <c r="B59">
        <v>36</v>
      </c>
      <c r="C59" s="1" t="s">
        <v>33</v>
      </c>
      <c r="D59">
        <v>1208</v>
      </c>
      <c r="G59">
        <v>71.884979051978874</v>
      </c>
      <c r="H59" s="3">
        <f t="shared" si="11"/>
        <v>1680.4623384900965</v>
      </c>
      <c r="I59" s="3">
        <f t="shared" si="5"/>
        <v>1696.4380000000001</v>
      </c>
      <c r="J59" s="3">
        <f t="shared" si="12"/>
        <v>1219.4841009298095</v>
      </c>
      <c r="K59">
        <f t="shared" si="8"/>
        <v>0.95067060677231185</v>
      </c>
    </row>
    <row r="60" spans="1:29" x14ac:dyDescent="0.3">
      <c r="A60" t="s">
        <v>39</v>
      </c>
      <c r="B60">
        <v>37</v>
      </c>
      <c r="C60" s="1" t="s">
        <v>23</v>
      </c>
      <c r="G60">
        <v>96.879695544664983</v>
      </c>
      <c r="I60" s="3">
        <f t="shared" si="5"/>
        <v>1721.9010000000001</v>
      </c>
      <c r="J60" s="3">
        <f t="shared" si="12"/>
        <v>1668.1724463805419</v>
      </c>
    </row>
    <row r="61" spans="1:29" x14ac:dyDescent="0.3">
      <c r="B61">
        <v>38</v>
      </c>
      <c r="C61" s="1" t="s">
        <v>7</v>
      </c>
      <c r="G61">
        <v>99.883095955910221</v>
      </c>
      <c r="I61" s="3">
        <f t="shared" si="5"/>
        <v>1747.364</v>
      </c>
      <c r="J61" s="3">
        <f t="shared" si="12"/>
        <v>1745.3212608190311</v>
      </c>
    </row>
    <row r="62" spans="1:29" x14ac:dyDescent="0.3">
      <c r="B62">
        <v>39</v>
      </c>
      <c r="C62" s="1" t="s">
        <v>24</v>
      </c>
      <c r="G62">
        <v>113.44581633602418</v>
      </c>
      <c r="I62" s="3">
        <f t="shared" si="5"/>
        <v>1772.827</v>
      </c>
      <c r="J62" s="3">
        <f t="shared" si="12"/>
        <v>2011.1980623754475</v>
      </c>
    </row>
    <row r="63" spans="1:29" x14ac:dyDescent="0.3">
      <c r="B63">
        <v>40</v>
      </c>
      <c r="C63" s="1" t="s">
        <v>25</v>
      </c>
      <c r="G63">
        <v>123.88640680299886</v>
      </c>
      <c r="I63" s="3">
        <f t="shared" si="5"/>
        <v>1798.29</v>
      </c>
      <c r="J63" s="3">
        <f t="shared" si="12"/>
        <v>2227.8368648976484</v>
      </c>
    </row>
    <row r="64" spans="1:29" x14ac:dyDescent="0.3">
      <c r="B64">
        <v>41</v>
      </c>
      <c r="C64" s="1" t="s">
        <v>26</v>
      </c>
      <c r="G64">
        <v>118.74190543653937</v>
      </c>
      <c r="I64" s="3">
        <f t="shared" si="5"/>
        <v>1823.7529999999999</v>
      </c>
      <c r="J64" s="3">
        <f t="shared" si="12"/>
        <v>2165.5590626560497</v>
      </c>
    </row>
    <row r="65" spans="2:11" x14ac:dyDescent="0.3">
      <c r="B65">
        <v>42</v>
      </c>
      <c r="C65" s="1" t="s">
        <v>27</v>
      </c>
      <c r="G65">
        <v>113.8563305537472</v>
      </c>
      <c r="I65" s="3">
        <f t="shared" si="5"/>
        <v>1849.2160000000001</v>
      </c>
      <c r="J65" s="3">
        <f t="shared" si="12"/>
        <v>2105.4494816127817</v>
      </c>
    </row>
    <row r="66" spans="2:11" x14ac:dyDescent="0.3">
      <c r="B66">
        <v>43</v>
      </c>
      <c r="C66" s="1" t="s">
        <v>28</v>
      </c>
      <c r="G66">
        <v>109.63209800415791</v>
      </c>
      <c r="I66" s="3">
        <f t="shared" si="5"/>
        <v>1874.6790000000001</v>
      </c>
      <c r="J66" s="3">
        <f t="shared" si="12"/>
        <v>2055.2499185433676</v>
      </c>
    </row>
    <row r="67" spans="2:11" x14ac:dyDescent="0.3">
      <c r="B67">
        <v>44</v>
      </c>
      <c r="C67" s="1" t="s">
        <v>29</v>
      </c>
      <c r="G67">
        <v>99.432839385645451</v>
      </c>
      <c r="I67" s="3">
        <f t="shared" si="5"/>
        <v>1900.1420000000001</v>
      </c>
      <c r="J67" s="3">
        <f t="shared" si="12"/>
        <v>1889.3651429591912</v>
      </c>
    </row>
    <row r="68" spans="2:11" x14ac:dyDescent="0.3">
      <c r="B68">
        <v>45</v>
      </c>
      <c r="C68" s="1" t="s">
        <v>30</v>
      </c>
      <c r="G68">
        <v>93.507988520332745</v>
      </c>
      <c r="I68" s="3">
        <f t="shared" si="5"/>
        <v>1925.605</v>
      </c>
      <c r="J68" s="3">
        <f t="shared" si="12"/>
        <v>1800.5945023469533</v>
      </c>
    </row>
    <row r="69" spans="2:11" x14ac:dyDescent="0.3">
      <c r="B69">
        <v>46</v>
      </c>
      <c r="C69" s="1" t="s">
        <v>31</v>
      </c>
      <c r="G69">
        <v>84.211390175816788</v>
      </c>
      <c r="I69" s="3">
        <f t="shared" si="5"/>
        <v>1951.068</v>
      </c>
      <c r="J69" s="3">
        <f t="shared" si="12"/>
        <v>1643.021486075505</v>
      </c>
    </row>
    <row r="70" spans="2:11" x14ac:dyDescent="0.3">
      <c r="B70">
        <v>47</v>
      </c>
      <c r="C70" s="1" t="s">
        <v>32</v>
      </c>
      <c r="G70">
        <v>74.637454232183444</v>
      </c>
      <c r="I70" s="3">
        <f t="shared" si="5"/>
        <v>1976.5309999999999</v>
      </c>
      <c r="J70" s="3">
        <f t="shared" si="12"/>
        <v>1475.2324205099178</v>
      </c>
    </row>
    <row r="71" spans="2:11" x14ac:dyDescent="0.3">
      <c r="B71">
        <v>48</v>
      </c>
      <c r="C71" s="1" t="s">
        <v>33</v>
      </c>
      <c r="G71">
        <v>71.884979051978874</v>
      </c>
      <c r="I71" s="3">
        <f>25.463*B71+779.77</f>
        <v>2001.9940000000001</v>
      </c>
      <c r="J71" s="3">
        <f t="shared" si="12"/>
        <v>1439.132967521874</v>
      </c>
    </row>
    <row r="72" spans="2:11" x14ac:dyDescent="0.3">
      <c r="J72" s="2" t="s">
        <v>48</v>
      </c>
      <c r="K72">
        <f>AVERAGE(K24:K59)</f>
        <v>17.051737812323143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C5F0-267A-4935-BBA7-379FBC8435EC}">
  <dimension ref="A1:K37"/>
  <sheetViews>
    <sheetView topLeftCell="A19" workbookViewId="0">
      <selection activeCell="C2" sqref="C2:C37"/>
    </sheetView>
  </sheetViews>
  <sheetFormatPr defaultRowHeight="14.4" x14ac:dyDescent="0.3"/>
  <cols>
    <col min="1" max="1" width="10.6640625" bestFit="1" customWidth="1"/>
    <col min="2" max="2" width="10.77734375" bestFit="1" customWidth="1"/>
    <col min="3" max="3" width="11.88671875" bestFit="1" customWidth="1"/>
    <col min="4" max="5" width="12" bestFit="1" customWidth="1"/>
    <col min="6" max="6" width="12" customWidth="1"/>
    <col min="7" max="7" width="12" bestFit="1" customWidth="1"/>
    <col min="8" max="8" width="12.5546875" bestFit="1" customWidth="1"/>
    <col min="9" max="9" width="9" bestFit="1" customWidth="1"/>
    <col min="10" max="11" width="12" bestFit="1" customWidth="1"/>
  </cols>
  <sheetData>
    <row r="1" spans="1:11" x14ac:dyDescent="0.3">
      <c r="A1" t="s">
        <v>45</v>
      </c>
      <c r="B1" t="s">
        <v>18</v>
      </c>
      <c r="C1" t="s">
        <v>53</v>
      </c>
      <c r="D1" t="s">
        <v>52</v>
      </c>
      <c r="E1" t="s">
        <v>49</v>
      </c>
      <c r="F1" t="s">
        <v>54</v>
      </c>
      <c r="G1" t="s">
        <v>50</v>
      </c>
      <c r="H1" t="s">
        <v>44</v>
      </c>
      <c r="I1" t="s">
        <v>36</v>
      </c>
      <c r="J1" t="s">
        <v>46</v>
      </c>
      <c r="K1" t="s">
        <v>51</v>
      </c>
    </row>
    <row r="2" spans="1:11" x14ac:dyDescent="0.3">
      <c r="A2">
        <v>1</v>
      </c>
      <c r="B2" s="1">
        <v>44652</v>
      </c>
      <c r="C2">
        <v>612</v>
      </c>
      <c r="G2" s="3">
        <v>96.879695544664983</v>
      </c>
      <c r="H2" s="3">
        <v>631.71131634888991</v>
      </c>
      <c r="I2" s="3">
        <v>805.23299999999995</v>
      </c>
      <c r="J2" s="3">
        <v>780.1072788251721</v>
      </c>
      <c r="K2" s="3">
        <v>27.468509611956225</v>
      </c>
    </row>
    <row r="3" spans="1:11" x14ac:dyDescent="0.3">
      <c r="A3">
        <v>2</v>
      </c>
      <c r="B3" s="1">
        <v>44682</v>
      </c>
      <c r="C3">
        <v>579</v>
      </c>
      <c r="G3" s="3">
        <v>99.883095955910221</v>
      </c>
      <c r="H3" s="3">
        <v>579.67766663498162</v>
      </c>
      <c r="I3" s="3">
        <v>830.69600000000003</v>
      </c>
      <c r="J3" s="3">
        <v>829.72488278190792</v>
      </c>
      <c r="K3" s="3">
        <v>43.303088563369244</v>
      </c>
    </row>
    <row r="4" spans="1:11" x14ac:dyDescent="0.3">
      <c r="A4">
        <v>3</v>
      </c>
      <c r="B4" s="1">
        <v>44713</v>
      </c>
      <c r="C4">
        <v>478</v>
      </c>
      <c r="G4" s="3">
        <v>113.44581633602418</v>
      </c>
      <c r="H4" s="3">
        <v>421.34652068981887</v>
      </c>
      <c r="I4" s="3">
        <v>856.15899999999999</v>
      </c>
      <c r="J4" s="3">
        <v>971.27656668434122</v>
      </c>
      <c r="K4" s="3">
        <v>103.19593445279105</v>
      </c>
    </row>
    <row r="5" spans="1:11" x14ac:dyDescent="0.3">
      <c r="A5">
        <v>4</v>
      </c>
      <c r="B5" s="1">
        <v>44743</v>
      </c>
      <c r="C5">
        <v>689</v>
      </c>
      <c r="G5" s="3">
        <v>123.88640680299886</v>
      </c>
      <c r="H5" s="3">
        <v>556.1546401903729</v>
      </c>
      <c r="I5" s="3">
        <v>881.62199999999996</v>
      </c>
      <c r="J5" s="3">
        <v>1092.2098173847346</v>
      </c>
      <c r="K5" s="3">
        <v>58.52101848835045</v>
      </c>
    </row>
    <row r="6" spans="1:11" x14ac:dyDescent="0.3">
      <c r="A6">
        <v>5</v>
      </c>
      <c r="B6" s="1">
        <v>44774</v>
      </c>
      <c r="C6">
        <v>721</v>
      </c>
      <c r="G6" s="3">
        <v>118.74190543653937</v>
      </c>
      <c r="H6" s="3">
        <v>607.19928432118047</v>
      </c>
      <c r="I6" s="3">
        <v>907.08500000000004</v>
      </c>
      <c r="J6" s="3">
        <v>1077.090012929033</v>
      </c>
      <c r="K6" s="3">
        <v>49.388351307771572</v>
      </c>
    </row>
    <row r="7" spans="1:11" x14ac:dyDescent="0.3">
      <c r="A7">
        <v>6</v>
      </c>
      <c r="B7" s="1">
        <v>44805</v>
      </c>
      <c r="C7">
        <v>904</v>
      </c>
      <c r="D7" s="3">
        <v>878.5</v>
      </c>
      <c r="E7" s="3"/>
      <c r="G7" s="3">
        <v>113.8563305537472</v>
      </c>
      <c r="H7" s="3">
        <v>793.98307990723129</v>
      </c>
      <c r="I7" s="3">
        <v>932.548</v>
      </c>
      <c r="J7" s="3">
        <v>1061.7649334523585</v>
      </c>
      <c r="K7" s="3">
        <v>17.451873169508684</v>
      </c>
    </row>
    <row r="8" spans="1:11" x14ac:dyDescent="0.3">
      <c r="A8">
        <v>7</v>
      </c>
      <c r="B8" s="1">
        <v>44835</v>
      </c>
      <c r="C8">
        <v>1225</v>
      </c>
      <c r="D8" s="3">
        <v>935.83333333333337</v>
      </c>
      <c r="E8" s="3">
        <v>907.16666666666674</v>
      </c>
      <c r="F8" s="3">
        <f>((C8/E8)*100)/100</f>
        <v>1.3503582583134301</v>
      </c>
      <c r="G8" s="3">
        <v>109.63209800415791</v>
      </c>
      <c r="H8" s="3">
        <v>1117.3734903381496</v>
      </c>
      <c r="I8" s="3">
        <v>958.01099999999997</v>
      </c>
      <c r="J8" s="3">
        <v>1050.2875584106132</v>
      </c>
      <c r="K8" s="3">
        <v>14.262240129745862</v>
      </c>
    </row>
    <row r="9" spans="1:11" x14ac:dyDescent="0.3">
      <c r="A9">
        <v>8</v>
      </c>
      <c r="B9" s="1">
        <v>44866</v>
      </c>
      <c r="C9">
        <v>1165</v>
      </c>
      <c r="D9" s="3">
        <v>999.33333333333337</v>
      </c>
      <c r="E9" s="3">
        <v>967.58333333333337</v>
      </c>
      <c r="F9" s="3">
        <f t="shared" ref="F9:F31" si="0">((C9/E9)*100)/100</f>
        <v>1.204030660580484</v>
      </c>
      <c r="G9" s="3">
        <v>99.432839385645451</v>
      </c>
      <c r="H9" s="3">
        <v>1171.6451096016719</v>
      </c>
      <c r="I9" s="3">
        <v>983.47399999999993</v>
      </c>
      <c r="J9" s="3">
        <v>977.89612281958262</v>
      </c>
      <c r="K9" s="3">
        <v>16.060418642095915</v>
      </c>
    </row>
    <row r="10" spans="1:11" x14ac:dyDescent="0.3">
      <c r="A10">
        <v>9</v>
      </c>
      <c r="B10" s="1">
        <v>44896</v>
      </c>
      <c r="C10">
        <v>1149</v>
      </c>
      <c r="D10" s="3">
        <v>1089.6666666666667</v>
      </c>
      <c r="E10" s="3">
        <v>1044.5</v>
      </c>
      <c r="F10" s="3">
        <f t="shared" si="0"/>
        <v>1.1000478697941598</v>
      </c>
      <c r="G10" s="3">
        <v>93.507988520332745</v>
      </c>
      <c r="H10" s="3">
        <v>1228.7720206388108</v>
      </c>
      <c r="I10" s="3">
        <v>1008.937</v>
      </c>
      <c r="J10" s="3">
        <v>943.43669413738962</v>
      </c>
      <c r="K10" s="3">
        <v>17.890627142089677</v>
      </c>
    </row>
    <row r="11" spans="1:11" x14ac:dyDescent="0.3">
      <c r="A11">
        <v>10</v>
      </c>
      <c r="B11" s="1">
        <v>44927</v>
      </c>
      <c r="C11">
        <v>1058</v>
      </c>
      <c r="D11" s="3">
        <v>1167.25</v>
      </c>
      <c r="E11" s="3">
        <v>1128.4583333333335</v>
      </c>
      <c r="F11" s="3">
        <f t="shared" si="0"/>
        <v>0.93756230845918087</v>
      </c>
      <c r="G11" s="3">
        <v>84.211390175816788</v>
      </c>
      <c r="H11" s="3">
        <v>1256.3621118130272</v>
      </c>
      <c r="I11" s="3">
        <v>1034.4000000000001</v>
      </c>
      <c r="J11" s="3">
        <v>871.08261997864884</v>
      </c>
      <c r="K11" s="3">
        <v>17.667049151356444</v>
      </c>
    </row>
    <row r="12" spans="1:11" x14ac:dyDescent="0.3">
      <c r="A12">
        <v>11</v>
      </c>
      <c r="B12" s="1">
        <v>44958</v>
      </c>
      <c r="C12">
        <v>996</v>
      </c>
      <c r="D12" s="3">
        <v>1238.3333333333333</v>
      </c>
      <c r="E12" s="3">
        <v>1202.7916666666665</v>
      </c>
      <c r="F12" s="3">
        <f t="shared" si="0"/>
        <v>0.82807357882703447</v>
      </c>
      <c r="G12" s="3">
        <v>74.637454232183444</v>
      </c>
      <c r="H12" s="3">
        <v>1334.4506591846321</v>
      </c>
      <c r="I12" s="3">
        <v>1059.8630000000001</v>
      </c>
      <c r="J12" s="3">
        <v>791.05476154884639</v>
      </c>
      <c r="K12" s="3">
        <v>20.576831169794541</v>
      </c>
    </row>
    <row r="13" spans="1:11" x14ac:dyDescent="0.3">
      <c r="A13">
        <v>12</v>
      </c>
      <c r="B13" s="1">
        <v>44986</v>
      </c>
      <c r="C13">
        <v>966</v>
      </c>
      <c r="D13" s="3">
        <v>1293.3333333333333</v>
      </c>
      <c r="E13" s="3">
        <v>1265.8333333333333</v>
      </c>
      <c r="F13" s="3">
        <f t="shared" si="0"/>
        <v>0.76313364055299548</v>
      </c>
      <c r="G13" s="3">
        <v>71.884979051978874</v>
      </c>
      <c r="H13" s="3">
        <v>1343.8134263091331</v>
      </c>
      <c r="I13" s="3">
        <v>1085.326</v>
      </c>
      <c r="J13" s="3">
        <v>780.18636774568017</v>
      </c>
      <c r="K13" s="3">
        <v>19.235365657797086</v>
      </c>
    </row>
    <row r="14" spans="1:11" x14ac:dyDescent="0.3">
      <c r="A14">
        <v>13</v>
      </c>
      <c r="B14" s="1">
        <v>45017</v>
      </c>
      <c r="C14">
        <v>1300</v>
      </c>
      <c r="D14" s="3">
        <v>1295.25</v>
      </c>
      <c r="E14" s="3">
        <v>1294.2916666666665</v>
      </c>
      <c r="F14" s="3">
        <f t="shared" si="0"/>
        <v>1.0044103917844383</v>
      </c>
      <c r="G14" s="3">
        <v>96.879695544664983</v>
      </c>
      <c r="H14" s="3">
        <v>1341.8704432247662</v>
      </c>
      <c r="I14" s="3">
        <v>1110.789</v>
      </c>
      <c r="J14" s="3">
        <v>1076.1290013436287</v>
      </c>
      <c r="K14" s="3">
        <v>17.220846050490099</v>
      </c>
    </row>
    <row r="15" spans="1:11" x14ac:dyDescent="0.3">
      <c r="A15">
        <v>14</v>
      </c>
      <c r="B15" s="1">
        <v>45047</v>
      </c>
      <c r="C15">
        <v>1341</v>
      </c>
      <c r="D15" s="3">
        <v>1295.9166666666667</v>
      </c>
      <c r="E15" s="3">
        <v>1295.5833333333335</v>
      </c>
      <c r="F15" s="3">
        <f t="shared" si="0"/>
        <v>1.0350549945327072</v>
      </c>
      <c r="G15" s="3">
        <v>99.883095955910221</v>
      </c>
      <c r="H15" s="3">
        <v>1342.5695180613302</v>
      </c>
      <c r="I15" s="3">
        <v>1136.252</v>
      </c>
      <c r="J15" s="3">
        <v>1134.923675460949</v>
      </c>
      <c r="K15" s="3">
        <v>15.36736200887778</v>
      </c>
    </row>
    <row r="16" spans="1:11" x14ac:dyDescent="0.3">
      <c r="A16">
        <v>15</v>
      </c>
      <c r="B16" s="1">
        <v>45078</v>
      </c>
      <c r="C16">
        <v>1562</v>
      </c>
      <c r="D16" s="3">
        <v>1296.75</v>
      </c>
      <c r="E16" s="3">
        <v>1296.3333333333335</v>
      </c>
      <c r="F16" s="3">
        <f t="shared" si="0"/>
        <v>1.2049370017999483</v>
      </c>
      <c r="G16" s="3">
        <v>113.44581633602418</v>
      </c>
      <c r="H16" s="3">
        <v>1376.8687558943452</v>
      </c>
      <c r="I16" s="3">
        <v>1161.7149999999999</v>
      </c>
      <c r="J16" s="3">
        <v>1317.9170652480432</v>
      </c>
      <c r="K16" s="3">
        <v>15.626308242762921</v>
      </c>
    </row>
    <row r="17" spans="1:11" x14ac:dyDescent="0.3">
      <c r="A17">
        <v>16</v>
      </c>
      <c r="B17" s="1">
        <v>45108</v>
      </c>
      <c r="C17">
        <v>1620</v>
      </c>
      <c r="D17" s="3">
        <v>1303.0833333333333</v>
      </c>
      <c r="E17" s="3">
        <v>1299.9166666666665</v>
      </c>
      <c r="F17" s="3">
        <f t="shared" si="0"/>
        <v>1.2462337329315982</v>
      </c>
      <c r="G17" s="3">
        <v>123.88640680299886</v>
      </c>
      <c r="H17" s="3">
        <v>1307.6495168481918</v>
      </c>
      <c r="I17" s="3">
        <v>1187.1779999999999</v>
      </c>
      <c r="J17" s="3">
        <v>1470.7521665557058</v>
      </c>
      <c r="K17" s="3">
        <v>9.2128292249564332</v>
      </c>
    </row>
    <row r="18" spans="1:11" x14ac:dyDescent="0.3">
      <c r="A18">
        <v>17</v>
      </c>
      <c r="B18" s="1">
        <v>45139</v>
      </c>
      <c r="C18">
        <v>1574</v>
      </c>
      <c r="D18" s="3">
        <v>1306</v>
      </c>
      <c r="E18" s="3">
        <v>1304.5416666666665</v>
      </c>
      <c r="F18" s="3">
        <f t="shared" si="0"/>
        <v>1.2065540259989143</v>
      </c>
      <c r="G18" s="3">
        <v>118.74190543653937</v>
      </c>
      <c r="H18" s="3">
        <v>1325.5640409452678</v>
      </c>
      <c r="I18" s="3">
        <v>1212.6410000000001</v>
      </c>
      <c r="J18" s="3">
        <v>1439.9130295047053</v>
      </c>
      <c r="K18" s="3">
        <v>8.5188672487480765</v>
      </c>
    </row>
    <row r="19" spans="1:11" x14ac:dyDescent="0.3">
      <c r="A19">
        <v>18</v>
      </c>
      <c r="B19" s="1">
        <v>45170</v>
      </c>
      <c r="C19">
        <v>1564</v>
      </c>
      <c r="D19" s="3">
        <v>1310.9166666666667</v>
      </c>
      <c r="E19" s="3">
        <v>1308.4583333333335</v>
      </c>
      <c r="F19" s="3">
        <f t="shared" si="0"/>
        <v>1.195299812119861</v>
      </c>
      <c r="G19" s="3">
        <v>113.8563305537472</v>
      </c>
      <c r="H19" s="3">
        <v>1373.6609922288824</v>
      </c>
      <c r="I19" s="3">
        <v>1238.104</v>
      </c>
      <c r="J19" s="3">
        <v>1409.6597828391664</v>
      </c>
      <c r="K19" s="3">
        <v>9.8683003299765737</v>
      </c>
    </row>
    <row r="20" spans="1:11" x14ac:dyDescent="0.3">
      <c r="A20">
        <v>19</v>
      </c>
      <c r="B20" s="1">
        <v>45200</v>
      </c>
      <c r="C20">
        <v>1248</v>
      </c>
      <c r="D20" s="3">
        <v>1325.75</v>
      </c>
      <c r="E20" s="3">
        <v>1318.3333333333335</v>
      </c>
      <c r="F20" s="3">
        <f t="shared" si="0"/>
        <v>0.94664981036662443</v>
      </c>
      <c r="G20" s="3">
        <v>109.63209800415791</v>
      </c>
      <c r="H20" s="3">
        <v>1138.3527477077637</v>
      </c>
      <c r="I20" s="3">
        <v>1263.567</v>
      </c>
      <c r="J20" s="3">
        <v>1385.2750117881981</v>
      </c>
      <c r="K20" s="3">
        <v>10.999600303541513</v>
      </c>
    </row>
    <row r="21" spans="1:11" x14ac:dyDescent="0.3">
      <c r="A21">
        <v>20</v>
      </c>
      <c r="B21" s="1">
        <v>45231</v>
      </c>
      <c r="C21">
        <v>1173</v>
      </c>
      <c r="D21" s="3">
        <v>1342.3333333333333</v>
      </c>
      <c r="E21" s="3">
        <v>1334.0416666666665</v>
      </c>
      <c r="F21" s="3">
        <f t="shared" si="0"/>
        <v>0.87928288096948504</v>
      </c>
      <c r="G21" s="3">
        <v>99.432839385645451</v>
      </c>
      <c r="H21" s="3">
        <v>1179.6907412555888</v>
      </c>
      <c r="I21" s="3">
        <v>1289.03</v>
      </c>
      <c r="J21" s="3">
        <v>1281.7191295327857</v>
      </c>
      <c r="K21" s="3">
        <v>9.268467990859822</v>
      </c>
    </row>
    <row r="22" spans="1:11" x14ac:dyDescent="0.3">
      <c r="A22">
        <v>21</v>
      </c>
      <c r="B22" s="1">
        <v>45261</v>
      </c>
      <c r="C22">
        <v>1159</v>
      </c>
      <c r="D22" s="3">
        <v>1355.75</v>
      </c>
      <c r="E22" s="3">
        <v>1349.0416666666665</v>
      </c>
      <c r="F22" s="3">
        <f t="shared" si="0"/>
        <v>0.85912839361274995</v>
      </c>
      <c r="G22" s="3">
        <v>93.507988520332745</v>
      </c>
      <c r="H22" s="3">
        <v>1239.466294099549</v>
      </c>
      <c r="I22" s="3">
        <v>1314.4929999999999</v>
      </c>
      <c r="J22" s="3">
        <v>1229.1559635405774</v>
      </c>
      <c r="K22" s="3">
        <v>6.0531461208436088</v>
      </c>
    </row>
    <row r="23" spans="1:11" x14ac:dyDescent="0.3">
      <c r="A23">
        <v>22</v>
      </c>
      <c r="B23" s="1">
        <v>45292</v>
      </c>
      <c r="C23">
        <v>1134</v>
      </c>
      <c r="D23" s="3">
        <v>1387.25</v>
      </c>
      <c r="E23" s="3">
        <v>1371.5</v>
      </c>
      <c r="F23" s="3">
        <f t="shared" si="0"/>
        <v>0.82683193583667514</v>
      </c>
      <c r="G23" s="3">
        <v>84.211390175816788</v>
      </c>
      <c r="H23" s="3">
        <v>1346.6111860075357</v>
      </c>
      <c r="I23" s="3">
        <v>1339.9560000000001</v>
      </c>
      <c r="J23" s="3">
        <v>1128.3955753442676</v>
      </c>
      <c r="K23" s="3">
        <v>0.49421734177534155</v>
      </c>
    </row>
    <row r="24" spans="1:11" x14ac:dyDescent="0.3">
      <c r="A24">
        <v>23</v>
      </c>
      <c r="B24" s="1">
        <v>45323</v>
      </c>
      <c r="C24">
        <v>1031</v>
      </c>
      <c r="D24" s="3">
        <v>1415.4166666666667</v>
      </c>
      <c r="E24" s="3">
        <v>1401.3333333333335</v>
      </c>
      <c r="F24" s="3">
        <f t="shared" si="0"/>
        <v>0.73572787821122732</v>
      </c>
      <c r="G24" s="3">
        <v>74.637454232183444</v>
      </c>
      <c r="H24" s="3">
        <v>1381.3440056419233</v>
      </c>
      <c r="I24" s="3">
        <v>1365.4189999999999</v>
      </c>
      <c r="J24" s="3">
        <v>1019.1139812025368</v>
      </c>
      <c r="K24" s="3">
        <v>1.152863122935323</v>
      </c>
    </row>
    <row r="25" spans="1:11" x14ac:dyDescent="0.3">
      <c r="A25">
        <v>24</v>
      </c>
      <c r="B25" s="1">
        <v>45352</v>
      </c>
      <c r="C25">
        <v>1025</v>
      </c>
      <c r="D25" s="3">
        <v>1434.5833333333333</v>
      </c>
      <c r="E25" s="3">
        <v>1425</v>
      </c>
      <c r="F25" s="3">
        <f t="shared" si="0"/>
        <v>0.7192982456140351</v>
      </c>
      <c r="G25" s="3">
        <v>71.884979051978874</v>
      </c>
      <c r="H25" s="3">
        <v>1425.8889875433349</v>
      </c>
      <c r="I25" s="3">
        <v>1390.8820000000001</v>
      </c>
      <c r="J25" s="3">
        <v>999.83523433774496</v>
      </c>
      <c r="K25" s="3">
        <v>2.4550990890004911</v>
      </c>
    </row>
    <row r="26" spans="1:11" x14ac:dyDescent="0.3">
      <c r="A26">
        <v>25</v>
      </c>
      <c r="B26" s="1">
        <v>45383</v>
      </c>
      <c r="C26">
        <v>1478</v>
      </c>
      <c r="D26" s="3">
        <v>1448.1666666666667</v>
      </c>
      <c r="E26" s="3">
        <v>1441.375</v>
      </c>
      <c r="F26" s="3">
        <f t="shared" si="0"/>
        <v>1.0254097649813545</v>
      </c>
      <c r="G26" s="3">
        <v>96.879695544664983</v>
      </c>
      <c r="H26" s="3">
        <v>1525.6034731432339</v>
      </c>
      <c r="I26" s="3">
        <v>1416.345</v>
      </c>
      <c r="J26" s="3">
        <v>1372.1507238620852</v>
      </c>
      <c r="K26" s="3">
        <v>7.1616560309820549</v>
      </c>
    </row>
    <row r="27" spans="1:11" x14ac:dyDescent="0.3">
      <c r="A27">
        <v>26</v>
      </c>
      <c r="B27" s="1">
        <v>45413</v>
      </c>
      <c r="C27">
        <v>1540</v>
      </c>
      <c r="D27" s="3">
        <v>1463.8333333333333</v>
      </c>
      <c r="E27" s="3">
        <v>1456</v>
      </c>
      <c r="F27" s="3">
        <f t="shared" si="0"/>
        <v>1.0576923076923077</v>
      </c>
      <c r="G27" s="3">
        <v>99.883095955910221</v>
      </c>
      <c r="H27" s="3">
        <v>1541.8024293918336</v>
      </c>
      <c r="I27" s="3">
        <v>1441.808</v>
      </c>
      <c r="J27" s="3">
        <v>1440.1224681399899</v>
      </c>
      <c r="K27" s="3">
        <v>6.4855540168837722</v>
      </c>
    </row>
    <row r="28" spans="1:11" x14ac:dyDescent="0.3">
      <c r="A28">
        <v>27</v>
      </c>
      <c r="B28" s="1">
        <v>45444</v>
      </c>
      <c r="C28">
        <v>1723</v>
      </c>
      <c r="D28" s="3">
        <v>1476.5</v>
      </c>
      <c r="E28" s="3">
        <v>1470.1666666666665</v>
      </c>
      <c r="F28" s="3">
        <f t="shared" si="0"/>
        <v>1.1719759664437139</v>
      </c>
      <c r="G28" s="3">
        <v>113.44581633602418</v>
      </c>
      <c r="H28" s="3">
        <v>1518.7867262522132</v>
      </c>
      <c r="I28" s="3">
        <v>1467.271</v>
      </c>
      <c r="J28" s="3">
        <v>1664.5575638117452</v>
      </c>
      <c r="K28" s="3">
        <v>3.3918999528876821</v>
      </c>
    </row>
    <row r="29" spans="1:11" x14ac:dyDescent="0.3">
      <c r="A29">
        <v>28</v>
      </c>
      <c r="B29" s="1">
        <v>45474</v>
      </c>
      <c r="C29">
        <v>1998</v>
      </c>
      <c r="D29" s="3">
        <v>1484.75</v>
      </c>
      <c r="E29" s="3">
        <v>1480.625</v>
      </c>
      <c r="F29" s="3">
        <f t="shared" si="0"/>
        <v>1.3494301392992825</v>
      </c>
      <c r="G29" s="3">
        <v>123.88640680299886</v>
      </c>
      <c r="H29" s="3">
        <v>1612.7677374461034</v>
      </c>
      <c r="I29" s="3">
        <v>1492.7339999999999</v>
      </c>
      <c r="J29" s="3">
        <v>1849.294515726677</v>
      </c>
      <c r="K29" s="3">
        <v>7.4427169305967471</v>
      </c>
    </row>
    <row r="30" spans="1:11" x14ac:dyDescent="0.3">
      <c r="A30">
        <v>29</v>
      </c>
      <c r="B30" s="1">
        <v>45505</v>
      </c>
      <c r="C30">
        <v>1912</v>
      </c>
      <c r="D30" s="3">
        <v>1499.6666666666667</v>
      </c>
      <c r="E30" s="3">
        <v>1492.2083333333335</v>
      </c>
      <c r="F30" s="3">
        <f t="shared" si="0"/>
        <v>1.2813224248178035</v>
      </c>
      <c r="G30" s="3">
        <v>118.74190543653937</v>
      </c>
      <c r="H30" s="3">
        <v>1610.2150230542265</v>
      </c>
      <c r="I30" s="3">
        <v>1518.1970000000001</v>
      </c>
      <c r="J30" s="3">
        <v>1802.7360460803777</v>
      </c>
      <c r="K30" s="3">
        <v>5.7146419414028395</v>
      </c>
    </row>
    <row r="31" spans="1:11" x14ac:dyDescent="0.3">
      <c r="A31">
        <v>30</v>
      </c>
      <c r="B31" s="1">
        <v>45536</v>
      </c>
      <c r="C31">
        <v>1794</v>
      </c>
      <c r="D31" s="3">
        <v>1514.9166666666667</v>
      </c>
      <c r="E31" s="3">
        <v>1507.2916666666667</v>
      </c>
      <c r="F31" s="3">
        <f t="shared" si="0"/>
        <v>1.190214236351071</v>
      </c>
      <c r="G31" s="3">
        <v>113.8563305537472</v>
      </c>
      <c r="H31" s="3">
        <v>1575.6699616743063</v>
      </c>
      <c r="I31" s="3">
        <v>1543.6599999999999</v>
      </c>
      <c r="J31" s="3">
        <v>1757.5546322259738</v>
      </c>
      <c r="K31" s="3">
        <v>2.0315143686748147</v>
      </c>
    </row>
    <row r="32" spans="1:11" x14ac:dyDescent="0.3">
      <c r="A32">
        <v>31</v>
      </c>
      <c r="B32" s="1">
        <v>45566</v>
      </c>
      <c r="C32">
        <v>1411</v>
      </c>
      <c r="G32" s="3">
        <v>109.63209800415791</v>
      </c>
      <c r="H32" s="3">
        <v>1287.0318325445951</v>
      </c>
      <c r="I32" s="3">
        <v>1569.123</v>
      </c>
      <c r="J32" s="3">
        <v>1720.2624651657827</v>
      </c>
      <c r="K32" s="3">
        <v>21.917963512812381</v>
      </c>
    </row>
    <row r="33" spans="1:11" x14ac:dyDescent="0.3">
      <c r="A33">
        <v>32</v>
      </c>
      <c r="B33" s="1">
        <v>45597</v>
      </c>
      <c r="C33">
        <v>1361</v>
      </c>
      <c r="G33" s="3">
        <v>99.432839385645451</v>
      </c>
      <c r="H33" s="3">
        <v>1368.7630851226397</v>
      </c>
      <c r="I33" s="3">
        <v>1594.586</v>
      </c>
      <c r="J33" s="3">
        <v>1585.5421362459883</v>
      </c>
      <c r="K33" s="3">
        <v>16.498320076854398</v>
      </c>
    </row>
    <row r="34" spans="1:11" x14ac:dyDescent="0.3">
      <c r="A34">
        <v>33</v>
      </c>
      <c r="B34" s="1">
        <v>45627</v>
      </c>
      <c r="C34">
        <v>1311</v>
      </c>
      <c r="G34" s="3">
        <v>93.507988520332745</v>
      </c>
      <c r="H34" s="3">
        <v>1402.0192507027684</v>
      </c>
      <c r="I34" s="3">
        <v>1620.049</v>
      </c>
      <c r="J34" s="3">
        <v>1514.8752329437652</v>
      </c>
      <c r="K34" s="3">
        <v>15.551123794337546</v>
      </c>
    </row>
    <row r="35" spans="1:11" x14ac:dyDescent="0.3">
      <c r="A35">
        <v>34</v>
      </c>
      <c r="B35" s="1">
        <v>45658</v>
      </c>
      <c r="C35">
        <v>1233</v>
      </c>
      <c r="G35" s="3">
        <v>84.211390175816788</v>
      </c>
      <c r="H35" s="3">
        <v>1464.1724800240668</v>
      </c>
      <c r="I35" s="3">
        <v>1645.5120000000002</v>
      </c>
      <c r="J35" s="3">
        <v>1385.7085307098864</v>
      </c>
      <c r="K35" s="3">
        <v>12.385120090015118</v>
      </c>
    </row>
    <row r="36" spans="1:11" x14ac:dyDescent="0.3">
      <c r="A36">
        <v>35</v>
      </c>
      <c r="B36" s="1">
        <v>45689</v>
      </c>
      <c r="C36">
        <v>1210</v>
      </c>
      <c r="G36" s="3">
        <v>74.637454232183444</v>
      </c>
      <c r="H36" s="3">
        <v>1621.1699775234986</v>
      </c>
      <c r="I36" s="3">
        <v>1670.9749999999999</v>
      </c>
      <c r="J36" s="3">
        <v>1247.1732008562271</v>
      </c>
      <c r="K36" s="3">
        <v>3.0721653600187722</v>
      </c>
    </row>
    <row r="37" spans="1:11" x14ac:dyDescent="0.3">
      <c r="A37">
        <v>36</v>
      </c>
      <c r="B37" s="1">
        <v>45717</v>
      </c>
      <c r="C37">
        <v>1208</v>
      </c>
      <c r="G37" s="3">
        <v>71.884979051978874</v>
      </c>
      <c r="H37" s="3">
        <v>1680.4623384900965</v>
      </c>
      <c r="I37" s="3">
        <v>1696.4380000000001</v>
      </c>
      <c r="J37" s="3">
        <v>1219.4841009298095</v>
      </c>
      <c r="K37" s="3">
        <v>0.95067060677231185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2025-04-04T14:59:03Z</cp:lastPrinted>
  <dcterms:created xsi:type="dcterms:W3CDTF">2025-03-16T13:32:04Z</dcterms:created>
  <dcterms:modified xsi:type="dcterms:W3CDTF">2025-05-04T19:36:24Z</dcterms:modified>
</cp:coreProperties>
</file>
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3C58045EAD3D6D/Desktop/Forecasting/"/>
    </mc:Choice>
  </mc:AlternateContent>
  <xr:revisionPtr revIDLastSave="73" documentId="8_{AF37D2F4-0C10-435E-8380-5B1A68D704BE}" xr6:coauthVersionLast="47" xr6:coauthVersionMax="47" xr10:uidLastSave="{21024058-6276-4866-9944-3CE89D209534}"/>
  <bookViews>
    <workbookView minimized="1" xWindow="5760" yWindow="3360" windowWidth="17280" windowHeight="8880" activeTab="2" xr2:uid="{7BBAFB2E-136E-4C2C-98A4-82304FF857B6}"/>
  </bookViews>
  <sheets>
    <sheet name="Sheet1" sheetId="1" r:id="rId1"/>
    <sheet name="Sheet4" sheetId="4" r:id="rId2"/>
    <sheet name="Sheet3" sheetId="3" r:id="rId3"/>
    <sheet name="Sheet2" sheetId="5" r:id="rId4"/>
    <sheet name="Sheet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6" l="1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8" i="6"/>
  <c r="I37" i="6"/>
  <c r="J37" i="6" s="1"/>
  <c r="K37" i="6" s="1"/>
  <c r="H37" i="6"/>
  <c r="I36" i="6"/>
  <c r="J36" i="6" s="1"/>
  <c r="K36" i="6" s="1"/>
  <c r="H36" i="6"/>
  <c r="I35" i="6"/>
  <c r="J35" i="6" s="1"/>
  <c r="K35" i="6" s="1"/>
  <c r="H35" i="6"/>
  <c r="I34" i="6"/>
  <c r="J34" i="6" s="1"/>
  <c r="K34" i="6" s="1"/>
  <c r="H34" i="6"/>
  <c r="I33" i="6"/>
  <c r="J33" i="6" s="1"/>
  <c r="K33" i="6" s="1"/>
  <c r="H33" i="6"/>
  <c r="I32" i="6"/>
  <c r="J32" i="6" s="1"/>
  <c r="K32" i="6" s="1"/>
  <c r="H32" i="6"/>
  <c r="I31" i="6"/>
  <c r="J31" i="6" s="1"/>
  <c r="K31" i="6" s="1"/>
  <c r="H31" i="6"/>
  <c r="D31" i="6"/>
  <c r="I30" i="6"/>
  <c r="J30" i="6" s="1"/>
  <c r="K30" i="6" s="1"/>
  <c r="H30" i="6"/>
  <c r="D30" i="6"/>
  <c r="I29" i="6"/>
  <c r="J29" i="6" s="1"/>
  <c r="K29" i="6" s="1"/>
  <c r="H29" i="6"/>
  <c r="D29" i="6"/>
  <c r="I28" i="6"/>
  <c r="J28" i="6" s="1"/>
  <c r="K28" i="6" s="1"/>
  <c r="H28" i="6"/>
  <c r="D28" i="6"/>
  <c r="E29" i="6" s="1"/>
  <c r="I27" i="6"/>
  <c r="J27" i="6" s="1"/>
  <c r="K27" i="6" s="1"/>
  <c r="H27" i="6"/>
  <c r="D27" i="6"/>
  <c r="E28" i="6" s="1"/>
  <c r="I26" i="6"/>
  <c r="J26" i="6" s="1"/>
  <c r="K26" i="6" s="1"/>
  <c r="H26" i="6"/>
  <c r="D26" i="6"/>
  <c r="I25" i="6"/>
  <c r="J25" i="6" s="1"/>
  <c r="K25" i="6" s="1"/>
  <c r="H25" i="6"/>
  <c r="D25" i="6"/>
  <c r="I24" i="6"/>
  <c r="J24" i="6" s="1"/>
  <c r="K24" i="6" s="1"/>
  <c r="H24" i="6"/>
  <c r="D24" i="6"/>
  <c r="E25" i="6" s="1"/>
  <c r="I23" i="6"/>
  <c r="J23" i="6" s="1"/>
  <c r="K23" i="6" s="1"/>
  <c r="H23" i="6"/>
  <c r="D23" i="6"/>
  <c r="I22" i="6"/>
  <c r="J22" i="6" s="1"/>
  <c r="K22" i="6" s="1"/>
  <c r="H22" i="6"/>
  <c r="D22" i="6"/>
  <c r="E23" i="6" s="1"/>
  <c r="I21" i="6"/>
  <c r="J21" i="6" s="1"/>
  <c r="K21" i="6" s="1"/>
  <c r="H21" i="6"/>
  <c r="D21" i="6"/>
  <c r="I20" i="6"/>
  <c r="J20" i="6" s="1"/>
  <c r="K20" i="6" s="1"/>
  <c r="H20" i="6"/>
  <c r="D20" i="6"/>
  <c r="E21" i="6" s="1"/>
  <c r="I19" i="6"/>
  <c r="J19" i="6" s="1"/>
  <c r="K19" i="6" s="1"/>
  <c r="H19" i="6"/>
  <c r="D19" i="6"/>
  <c r="I18" i="6"/>
  <c r="J18" i="6" s="1"/>
  <c r="K18" i="6" s="1"/>
  <c r="H18" i="6"/>
  <c r="D18" i="6"/>
  <c r="I17" i="6"/>
  <c r="J17" i="6" s="1"/>
  <c r="K17" i="6" s="1"/>
  <c r="H17" i="6"/>
  <c r="D17" i="6"/>
  <c r="E18" i="6" s="1"/>
  <c r="I16" i="6"/>
  <c r="J16" i="6" s="1"/>
  <c r="K16" i="6" s="1"/>
  <c r="H16" i="6"/>
  <c r="D16" i="6"/>
  <c r="E17" i="6" s="1"/>
  <c r="I15" i="6"/>
  <c r="J15" i="6" s="1"/>
  <c r="K15" i="6" s="1"/>
  <c r="H15" i="6"/>
  <c r="D15" i="6"/>
  <c r="I14" i="6"/>
  <c r="J14" i="6" s="1"/>
  <c r="K14" i="6" s="1"/>
  <c r="H14" i="6"/>
  <c r="D14" i="6"/>
  <c r="I13" i="6"/>
  <c r="J13" i="6" s="1"/>
  <c r="K13" i="6" s="1"/>
  <c r="H13" i="6"/>
  <c r="D13" i="6"/>
  <c r="I12" i="6"/>
  <c r="J12" i="6" s="1"/>
  <c r="K12" i="6" s="1"/>
  <c r="H12" i="6"/>
  <c r="D12" i="6"/>
  <c r="E13" i="6" s="1"/>
  <c r="I11" i="6"/>
  <c r="J11" i="6" s="1"/>
  <c r="K11" i="6" s="1"/>
  <c r="H11" i="6"/>
  <c r="D11" i="6"/>
  <c r="E12" i="6" s="1"/>
  <c r="I10" i="6"/>
  <c r="J10" i="6" s="1"/>
  <c r="K10" i="6" s="1"/>
  <c r="H10" i="6"/>
  <c r="D10" i="6"/>
  <c r="I9" i="6"/>
  <c r="J9" i="6" s="1"/>
  <c r="K9" i="6" s="1"/>
  <c r="H9" i="6"/>
  <c r="D9" i="6"/>
  <c r="I8" i="6"/>
  <c r="J8" i="6" s="1"/>
  <c r="K8" i="6" s="1"/>
  <c r="H8" i="6"/>
  <c r="D8" i="6"/>
  <c r="E9" i="6" s="1"/>
  <c r="I7" i="6"/>
  <c r="J7" i="6" s="1"/>
  <c r="K7" i="6" s="1"/>
  <c r="H7" i="6"/>
  <c r="D7" i="6"/>
  <c r="I6" i="6"/>
  <c r="J6" i="6" s="1"/>
  <c r="K6" i="6" s="1"/>
  <c r="H6" i="6"/>
  <c r="I5" i="6"/>
  <c r="J5" i="6" s="1"/>
  <c r="K5" i="6" s="1"/>
  <c r="H5" i="6"/>
  <c r="I4" i="6"/>
  <c r="J4" i="6" s="1"/>
  <c r="K4" i="6" s="1"/>
  <c r="H4" i="6"/>
  <c r="I3" i="6"/>
  <c r="J3" i="6" s="1"/>
  <c r="K3" i="6" s="1"/>
  <c r="H3" i="6"/>
  <c r="I2" i="6"/>
  <c r="J2" i="6" s="1"/>
  <c r="K2" i="6" s="1"/>
  <c r="H2" i="6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8" i="5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29" i="3"/>
  <c r="E20" i="6" l="1"/>
  <c r="E10" i="6"/>
  <c r="E15" i="6"/>
  <c r="E26" i="6"/>
  <c r="E31" i="6"/>
  <c r="E27" i="6"/>
  <c r="E19" i="6"/>
  <c r="E11" i="6"/>
  <c r="E24" i="6"/>
  <c r="E16" i="6"/>
  <c r="E8" i="6"/>
  <c r="E14" i="6"/>
  <c r="E22" i="6"/>
  <c r="E30" i="6"/>
  <c r="J24" i="3"/>
  <c r="K24" i="3" s="1"/>
  <c r="J29" i="3"/>
  <c r="K29" i="3" s="1"/>
  <c r="J39" i="3"/>
  <c r="K39" i="3" s="1"/>
  <c r="J40" i="3"/>
  <c r="K40" i="3" s="1"/>
  <c r="J42" i="3"/>
  <c r="K42" i="3" s="1"/>
  <c r="J43" i="3"/>
  <c r="K43" i="3" s="1"/>
  <c r="J44" i="3"/>
  <c r="K44" i="3" s="1"/>
  <c r="J45" i="3"/>
  <c r="K45" i="3" s="1"/>
  <c r="J51" i="3"/>
  <c r="K51" i="3" s="1"/>
  <c r="J52" i="3"/>
  <c r="K52" i="3" s="1"/>
  <c r="J53" i="3"/>
  <c r="K53" i="3" s="1"/>
  <c r="J54" i="3"/>
  <c r="K54" i="3" s="1"/>
  <c r="J55" i="3"/>
  <c r="K55" i="3" s="1"/>
  <c r="J56" i="3"/>
  <c r="K56" i="3" s="1"/>
  <c r="J57" i="3"/>
  <c r="K57" i="3" s="1"/>
  <c r="J58" i="3"/>
  <c r="K58" i="3" s="1"/>
  <c r="J59" i="3"/>
  <c r="K59" i="3" s="1"/>
  <c r="J60" i="3"/>
  <c r="J61" i="3"/>
  <c r="J32" i="3"/>
  <c r="K32" i="3" s="1"/>
  <c r="J34" i="3"/>
  <c r="K34" i="3" s="1"/>
  <c r="J35" i="3"/>
  <c r="K35" i="3" s="1"/>
  <c r="J36" i="3"/>
  <c r="K36" i="3" s="1"/>
  <c r="J37" i="3"/>
  <c r="K37" i="3" s="1"/>
  <c r="J38" i="3"/>
  <c r="K38" i="3" s="1"/>
  <c r="J68" i="3"/>
  <c r="J69" i="3"/>
  <c r="J70" i="3"/>
  <c r="H30" i="3"/>
  <c r="H26" i="3"/>
  <c r="H25" i="3"/>
  <c r="H35" i="3"/>
  <c r="H31" i="3"/>
  <c r="H28" i="3"/>
  <c r="H27" i="3"/>
  <c r="J63" i="3"/>
  <c r="J65" i="3"/>
  <c r="J66" i="3"/>
  <c r="J67" i="3"/>
  <c r="J41" i="3"/>
  <c r="K41" i="3" s="1"/>
  <c r="J64" i="3"/>
  <c r="J11" i="3"/>
  <c r="J10" i="3"/>
  <c r="J30" i="3"/>
  <c r="K30" i="3" s="1"/>
  <c r="J31" i="3"/>
  <c r="K31" i="3" s="1"/>
  <c r="J71" i="3"/>
  <c r="H32" i="3"/>
  <c r="H33" i="3"/>
  <c r="H34" i="3"/>
  <c r="J46" i="3"/>
  <c r="K46" i="3" s="1"/>
  <c r="J47" i="3"/>
  <c r="K47" i="3" s="1"/>
  <c r="J48" i="3"/>
  <c r="K48" i="3" s="1"/>
  <c r="J49" i="3"/>
  <c r="K49" i="3" s="1"/>
  <c r="J50" i="3"/>
  <c r="K50" i="3" s="1"/>
  <c r="J62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L4" i="3"/>
  <c r="L5" i="3"/>
  <c r="L6" i="3"/>
  <c r="L7" i="3"/>
  <c r="L8" i="3"/>
  <c r="L3" i="3"/>
  <c r="K4" i="3"/>
  <c r="K5" i="3"/>
  <c r="K6" i="3"/>
  <c r="K7" i="3"/>
  <c r="K8" i="3"/>
  <c r="K9" i="3"/>
  <c r="K10" i="3"/>
  <c r="K11" i="3"/>
  <c r="K12" i="3"/>
  <c r="K13" i="3"/>
  <c r="K14" i="3"/>
  <c r="K3" i="3"/>
  <c r="J12" i="3"/>
  <c r="J13" i="3"/>
  <c r="J14" i="3"/>
  <c r="J9" i="3"/>
  <c r="F39" i="3"/>
  <c r="F41" i="3"/>
  <c r="F37" i="3" l="1"/>
  <c r="H29" i="3"/>
  <c r="J33" i="3"/>
  <c r="K33" i="3" s="1"/>
  <c r="H24" i="3"/>
  <c r="J25" i="3"/>
  <c r="K25" i="3" s="1"/>
  <c r="J27" i="3"/>
  <c r="K27" i="3" s="1"/>
  <c r="J26" i="3"/>
  <c r="K26" i="3" s="1"/>
  <c r="J28" i="3"/>
  <c r="K28" i="3" s="1"/>
  <c r="F38" i="3"/>
  <c r="M13" i="3"/>
  <c r="M12" i="3"/>
  <c r="M8" i="3"/>
  <c r="M11" i="3"/>
  <c r="M7" i="3"/>
  <c r="M10" i="3"/>
  <c r="M5" i="3"/>
  <c r="M14" i="3"/>
  <c r="M6" i="3"/>
  <c r="M3" i="3"/>
  <c r="M4" i="3"/>
  <c r="M9" i="3"/>
  <c r="F42" i="3"/>
  <c r="F40" i="3"/>
  <c r="F44" i="3"/>
  <c r="F53" i="3"/>
  <c r="F36" i="3"/>
  <c r="F35" i="3"/>
  <c r="F52" i="3"/>
  <c r="F51" i="3"/>
  <c r="F30" i="3"/>
  <c r="F43" i="3"/>
  <c r="F34" i="3"/>
  <c r="F33" i="3"/>
  <c r="F47" i="3"/>
  <c r="F46" i="3"/>
  <c r="F50" i="3"/>
  <c r="F49" i="3"/>
  <c r="F48" i="3"/>
  <c r="F45" i="3"/>
  <c r="F32" i="3"/>
  <c r="F31" i="3"/>
  <c r="M15" i="3" l="1"/>
  <c r="N9" i="3" s="1"/>
  <c r="K72" i="3"/>
  <c r="N3" i="3" l="1"/>
  <c r="N4" i="3"/>
  <c r="N5" i="3"/>
  <c r="N6" i="3"/>
  <c r="N7" i="3"/>
  <c r="N8" i="3"/>
  <c r="N13" i="3"/>
  <c r="N12" i="3"/>
  <c r="N11" i="3"/>
  <c r="N10" i="3"/>
  <c r="N14" i="3"/>
</calcChain>
</file>

<file path=xl/sharedStrings.xml><?xml version="1.0" encoding="utf-8"?>
<sst xmlns="http://schemas.openxmlformats.org/spreadsheetml/2006/main" count="141" uniqueCount="58">
  <si>
    <t>Month</t>
  </si>
  <si>
    <t>Sales Data Table</t>
  </si>
  <si>
    <t>2022-23</t>
  </si>
  <si>
    <t>2023-24</t>
  </si>
  <si>
    <t>2024-25</t>
  </si>
  <si>
    <t>Apr</t>
  </si>
  <si>
    <t>Mar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</si>
  <si>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</si>
  <si>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</si>
  <si>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</si>
  <si>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</si>
  <si>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</si>
  <si>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</si>
  <si>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</si>
  <si>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</si>
  <si>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</si>
  <si>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</si>
  <si>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Quantity Sold</t>
  </si>
  <si>
    <t>Month-Year</t>
  </si>
  <si>
    <t>Year</t>
  </si>
  <si>
    <t>2022-2023</t>
  </si>
  <si>
    <t>2023-2024</t>
  </si>
  <si>
    <t>2024-2025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</si>
  <si>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</si>
  <si>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</si>
  <si>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</si>
  <si>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</si>
  <si>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</si>
  <si>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</si>
  <si>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</si>
  <si>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</si>
  <si>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</si>
  <si>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</si>
  <si>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</si>
  <si>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Months</t>
  </si>
  <si>
    <t>Total</t>
  </si>
  <si>
    <t>Trend</t>
  </si>
  <si>
    <t>12 MA</t>
  </si>
  <si>
    <t>Center MA</t>
  </si>
  <si>
    <t>2025-26</t>
  </si>
  <si>
    <t>CMA</t>
  </si>
  <si>
    <t>Calculations</t>
  </si>
  <si>
    <t>SI</t>
  </si>
  <si>
    <t>Adjusted SI</t>
  </si>
  <si>
    <t>Deseasonalize</t>
  </si>
  <si>
    <t>Time Period</t>
  </si>
  <si>
    <t>Forecast</t>
  </si>
  <si>
    <t>APE</t>
  </si>
  <si>
    <t xml:space="preserve">MAPE = </t>
  </si>
  <si>
    <t>Demand</t>
  </si>
  <si>
    <t>12 point Moving Average</t>
  </si>
  <si>
    <t>Centered Moving Average</t>
  </si>
  <si>
    <t>Adjusted Seasonal Indices</t>
  </si>
  <si>
    <t>Error %</t>
  </si>
  <si>
    <t>ratio to Moving Average</t>
  </si>
  <si>
    <t>12 Point Moving Average</t>
  </si>
  <si>
    <t>Ratio to Moving Average</t>
  </si>
  <si>
    <t>Actual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</si>
</sst>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7" fontId="0" fillId="0" borderId="0" xfId="0" applyNumberFormat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2" fontId="2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10" fontId="2" fillId="0" borderId="0" xfId="1" applyNumberFormat="1" applyFont="1"/>
    <xf numFmtId="0" fontId="0" fillId="0" borderId="0" xfId="0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Seasonality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2022-23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Sheet1!$B$3:$B$14</c:f>
              <c:numCache>
                <c:formatCode>General</c:formatCode>
                <c:ptCount val="12"/>
                <c:pt idx="0">
                  <c:v>569</c:v>
                </c:pt>
                <c:pt idx="1">
                  <c:v>621</c:v>
                </c:pt>
                <c:pt idx="2">
                  <c:v>459</c:v>
                </c:pt>
                <c:pt idx="3">
                  <c:v>784</c:v>
                </c:pt>
                <c:pt idx="4">
                  <c:v>649</c:v>
                </c:pt>
                <c:pt idx="5">
                  <c:v>799</c:v>
                </c:pt>
                <c:pt idx="6">
                  <c:v>1006</c:v>
                </c:pt>
                <c:pt idx="7">
                  <c:v>1068</c:v>
                </c:pt>
                <c:pt idx="8">
                  <c:v>1082</c:v>
                </c:pt>
                <c:pt idx="9">
                  <c:v>1097</c:v>
                </c:pt>
                <c:pt idx="10">
                  <c:v>1131</c:v>
                </c:pt>
                <c:pt idx="11">
                  <c:v>1184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2E-4807-AB9B-19F2252B4454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1163</c:v>
                </c:pt>
                <c:pt idx="1">
                  <c:v>1147</c:v>
                </c:pt>
                <c:pt idx="2">
                  <c:v>1219</c:v>
                </c:pt>
                <c:pt idx="3">
                  <c:v>1242</c:v>
                </c:pt>
                <c:pt idx="4">
                  <c:v>1050</c:v>
                </c:pt>
                <c:pt idx="5">
                  <c:v>1274</c:v>
                </c:pt>
                <c:pt idx="6">
                  <c:v>1479</c:v>
                </c:pt>
                <c:pt idx="7">
                  <c:v>1381</c:v>
                </c:pt>
                <c:pt idx="8">
                  <c:v>1357</c:v>
                </c:pt>
                <c:pt idx="9">
                  <c:v>1419</c:v>
                </c:pt>
                <c:pt idx="10">
                  <c:v>1452</c:v>
                </c:pt>
                <c:pt idx="11">
                  <c:v>1476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2E-4807-AB9B-19F2252B4454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Sheet1!$D$3:$D$14</c:f>
              <c:numCache>
                <c:formatCode>General</c:formatCode>
                <c:ptCount val="12"/>
                <c:pt idx="0">
                  <c:v>1451</c:v>
                </c:pt>
                <c:pt idx="1">
                  <c:v>1359</c:v>
                </c:pt>
                <c:pt idx="2">
                  <c:v>1392</c:v>
                </c:pt>
                <c:pt idx="3">
                  <c:v>1349</c:v>
                </c:pt>
                <c:pt idx="4">
                  <c:v>1557</c:v>
                </c:pt>
                <c:pt idx="5">
                  <c:v>1171</c:v>
                </c:pt>
                <c:pt idx="6">
                  <c:v>1329</c:v>
                </c:pt>
                <c:pt idx="7">
                  <c:v>1588</c:v>
                </c:pt>
                <c:pt idx="8">
                  <c:v>1596</c:v>
                </c:pt>
                <c:pt idx="9">
                  <c:v>1399</c:v>
                </c:pt>
                <c:pt idx="10">
                  <c:v>1584</c:v>
                </c:pt>
                <c:pt idx="11">
                  <c:v>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2E-4807-AB9B-19F2252B4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155583"/>
        <c:axId val="425156063"/>
      </c:lineChart>
      <c:catAx>
        <c:axId val="425155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56063"/>
        <c:crosses val="autoZero"/>
        <c:auto val="1"/>
        <c:lblAlgn val="ctr"/>
        <c:lblOffset val="100"/>
        <c:noMultiLvlLbl val="0"/>
      </c:catAx>
      <c:valAx>
        <c:axId val="42515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5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Sheet4!$A$1:$A$36</c15:sqref>
                  </c15:fullRef>
                </c:ext>
              </c:extLst>
              <c:f>(Sheet4!$A$1,Sheet4!$A$3,Sheet4!$A$5,Sheet4!$A$7,Sheet4!$A$9,Sheet4!$A$11,Sheet4!$A$13,Sheet4!$A$15,Sheet4!$A$17,Sheet4!$A$19,Sheet4!$A$21,Sheet4!$A$23,Sheet4!$A$25,Sheet4!$A$27,Sheet4!$A$29,Sheet4!$A$31,Sheet4!$A$33,Sheet4!$A$35)</c:f>
              <c:numCache>
                <c:formatCode>mmm\-yy</c:formatCode>
                <c:ptCount val="18"/>
                <c:pt idx="0">
                  <c:v>44562</c:v>
                </c:pt>
                <c:pt idx="1">
                  <c:v>44621</c:v>
                </c:pt>
                <c:pt idx="2">
                  <c:v>44682</c:v>
                </c:pt>
                <c:pt idx="3">
                  <c:v>44743</c:v>
                </c:pt>
                <c:pt idx="4">
                  <c:v>44805</c:v>
                </c:pt>
                <c:pt idx="5">
                  <c:v>44866</c:v>
                </c:pt>
                <c:pt idx="6">
                  <c:v>44927</c:v>
                </c:pt>
                <c:pt idx="7">
                  <c:v>44986</c:v>
                </c:pt>
                <c:pt idx="8">
                  <c:v>45047</c:v>
                </c:pt>
                <c:pt idx="9">
                  <c:v>45108</c:v>
                </c:pt>
                <c:pt idx="10">
                  <c:v>45170</c:v>
                </c:pt>
                <c:pt idx="11">
                  <c:v>45231</c:v>
                </c:pt>
                <c:pt idx="12">
                  <c:v>45292</c:v>
                </c:pt>
                <c:pt idx="13">
                  <c:v>45352</c:v>
                </c:pt>
                <c:pt idx="14">
                  <c:v>45413</c:v>
                </c:pt>
                <c:pt idx="15">
                  <c:v>45474</c:v>
                </c:pt>
                <c:pt idx="16">
                  <c:v>45536</c:v>
                </c:pt>
                <c:pt idx="17">
                  <c:v>45597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Sheet4!$B$1:$B$36</c15:sqref>
                  </c15:fullRef>
                </c:ext>
              </c:extLst>
              <c:f>(Sheet4!$B$1,Sheet4!$B$3,Sheet4!$B$5,Sheet4!$B$7,Sheet4!$B$9,Sheet4!$B$11,Sheet4!$B$13,Sheet4!$B$15,Sheet4!$B$17,Sheet4!$B$19,Sheet4!$B$21,Sheet4!$B$23,Sheet4!$B$25,Sheet4!$B$27,Sheet4!$B$29,Sheet4!$B$31,Sheet4!$B$33,Sheet4!$B$35)</c:f>
              <c:numCache>
                <c:formatCode>General</c:formatCode>
                <c:ptCount val="18"/>
                <c:pt idx="0">
                  <c:v>647</c:v>
                </c:pt>
                <c:pt idx="1">
                  <c:v>1065</c:v>
                </c:pt>
                <c:pt idx="2">
                  <c:v>512</c:v>
                </c:pt>
                <c:pt idx="3">
                  <c:v>866</c:v>
                </c:pt>
                <c:pt idx="4">
                  <c:v>556</c:v>
                </c:pt>
                <c:pt idx="5">
                  <c:v>785</c:v>
                </c:pt>
                <c:pt idx="6">
                  <c:v>1228</c:v>
                </c:pt>
                <c:pt idx="7">
                  <c:v>1441</c:v>
                </c:pt>
                <c:pt idx="8">
                  <c:v>1123</c:v>
                </c:pt>
                <c:pt idx="9">
                  <c:v>1152</c:v>
                </c:pt>
                <c:pt idx="10">
                  <c:v>761</c:v>
                </c:pt>
                <c:pt idx="11">
                  <c:v>985</c:v>
                </c:pt>
                <c:pt idx="12">
                  <c:v>1478</c:v>
                </c:pt>
                <c:pt idx="13">
                  <c:v>646</c:v>
                </c:pt>
                <c:pt idx="14">
                  <c:v>1652</c:v>
                </c:pt>
                <c:pt idx="15">
                  <c:v>1659</c:v>
                </c:pt>
                <c:pt idx="16">
                  <c:v>973</c:v>
                </c:pt>
                <c:pt idx="17">
                  <c:v>1145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6-4202-A0E3-5AD1C3B5B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809392"/>
        <c:axId val="423808432"/>
      </c:lineChart>
      <c:dateAx>
        <c:axId val="423809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08432"/>
        <c:crosses val="autoZero"/>
        <c:auto val="1"/>
        <c:lblOffset val="100"/>
        <c:baseTimeUnit val="months"/>
      </c:dateAx>
      <c:valAx>
        <c:axId val="42380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0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Sheet3!$D$23</c:f>
              <c:strCache>
                <c:ptCount val="1"/>
                <c:pt idx="0">
                  <c:v>Quantity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Sheet3!$B$24:$B$71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Sheet3!$D$24:$D$71</c:f>
              <c:numCache>
                <c:formatCode>General</c:formatCode>
                <c:ptCount val="48"/>
                <c:pt idx="0">
                  <c:v>569</c:v>
                </c:pt>
                <c:pt idx="1">
                  <c:v>621</c:v>
                </c:pt>
                <c:pt idx="2">
                  <c:v>459</c:v>
                </c:pt>
                <c:pt idx="3">
                  <c:v>784</c:v>
                </c:pt>
                <c:pt idx="4">
                  <c:v>649</c:v>
                </c:pt>
                <c:pt idx="5">
                  <c:v>799</c:v>
                </c:pt>
                <c:pt idx="6">
                  <c:v>1006</c:v>
                </c:pt>
                <c:pt idx="7">
                  <c:v>1068</c:v>
                </c:pt>
                <c:pt idx="8">
                  <c:v>1082</c:v>
                </c:pt>
                <c:pt idx="9">
                  <c:v>1097</c:v>
                </c:pt>
                <c:pt idx="10">
                  <c:v>1131</c:v>
                </c:pt>
                <c:pt idx="11">
                  <c:v>1184</c:v>
                </c:pt>
                <c:pt idx="12">
                  <c:v>1163</c:v>
                </c:pt>
                <c:pt idx="13">
                  <c:v>1147</c:v>
                </c:pt>
                <c:pt idx="14">
                  <c:v>1219</c:v>
                </c:pt>
                <c:pt idx="15">
                  <c:v>1242</c:v>
                </c:pt>
                <c:pt idx="16">
                  <c:v>1293</c:v>
                </c:pt>
                <c:pt idx="17">
                  <c:v>1274</c:v>
                </c:pt>
                <c:pt idx="18">
                  <c:v>1328</c:v>
                </c:pt>
                <c:pt idx="19">
                  <c:v>1381</c:v>
                </c:pt>
                <c:pt idx="20">
                  <c:v>1357</c:v>
                </c:pt>
                <c:pt idx="21">
                  <c:v>1419</c:v>
                </c:pt>
                <c:pt idx="22">
                  <c:v>1452</c:v>
                </c:pt>
                <c:pt idx="23">
                  <c:v>1476</c:v>
                </c:pt>
                <c:pt idx="24">
                  <c:v>1451</c:v>
                </c:pt>
                <c:pt idx="25">
                  <c:v>1359</c:v>
                </c:pt>
                <c:pt idx="26">
                  <c:v>1392</c:v>
                </c:pt>
                <c:pt idx="27">
                  <c:v>1349</c:v>
                </c:pt>
                <c:pt idx="28">
                  <c:v>1557</c:v>
                </c:pt>
                <c:pt idx="29">
                  <c:v>1171</c:v>
                </c:pt>
                <c:pt idx="30">
                  <c:v>1329</c:v>
                </c:pt>
                <c:pt idx="31">
                  <c:v>1588</c:v>
                </c:pt>
                <c:pt idx="32">
                  <c:v>1596</c:v>
                </c:pt>
                <c:pt idx="33">
                  <c:v>1399</c:v>
                </c:pt>
                <c:pt idx="34">
                  <c:v>1584</c:v>
                </c:pt>
                <c:pt idx="35">
                  <c:v>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A-4D20-92AB-E13CC7C8D700}"/>
            </c:ext>
          </c:extLst>
        </c:ser>
        <c:ser>
          <c:idx val="1"/>
          <c:order val="1"/>
          <c:tx>
            <c:strRef>
              <c:f>Sheet3!$H$23</c:f>
              <c:strCache>
                <c:ptCount val="1"/>
                <c:pt idx="0">
                  <c:v>Deseasonalize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Sheet3!$B$24:$B$71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Sheet3!$H$24:$H$71</c:f>
              <c:numCache>
                <c:formatCode>0.00</c:formatCode>
                <c:ptCount val="48"/>
                <c:pt idx="0">
                  <c:v>568.60506259270471</c:v>
                </c:pt>
                <c:pt idx="1">
                  <c:v>655.15242886920544</c:v>
                </c:pt>
                <c:pt idx="2">
                  <c:v>471.94322104571427</c:v>
                </c:pt>
                <c:pt idx="3">
                  <c:v>821.8263097147551</c:v>
                </c:pt>
                <c:pt idx="4">
                  <c:v>628.10898024195808</c:v>
                </c:pt>
                <c:pt idx="5">
                  <c:v>905.97332681547141</c:v>
                </c:pt>
                <c:pt idx="6">
                  <c:v>962.38354127664877</c:v>
                </c:pt>
                <c:pt idx="7">
                  <c:v>1005.5985625898794</c:v>
                </c:pt>
                <c:pt idx="8">
                  <c:v>1056.2691132556618</c:v>
                </c:pt>
                <c:pt idx="9">
                  <c:v>1071.7757327226491</c:v>
                </c:pt>
                <c:pt idx="10">
                  <c:v>1105.3528896429225</c:v>
                </c:pt>
                <c:pt idx="11">
                  <c:v>1148.1443932994205</c:v>
                </c:pt>
                <c:pt idx="12">
                  <c:v>1162.1927729267409</c:v>
                </c:pt>
                <c:pt idx="13">
                  <c:v>1210.0802510675985</c:v>
                </c:pt>
                <c:pt idx="14">
                  <c:v>1253.3742624285962</c:v>
                </c:pt>
                <c:pt idx="15">
                  <c:v>1301.9238222777115</c:v>
                </c:pt>
                <c:pt idx="16">
                  <c:v>1251.3789082478456</c:v>
                </c:pt>
                <c:pt idx="17">
                  <c:v>1444.5682332451947</c:v>
                </c:pt>
                <c:pt idx="18">
                  <c:v>1270.4228059795123</c:v>
                </c:pt>
                <c:pt idx="19">
                  <c:v>1300.3105008769883</c:v>
                </c:pt>
                <c:pt idx="20">
                  <c:v>1324.72937771528</c:v>
                </c:pt>
                <c:pt idx="21">
                  <c:v>1386.3717089639372</c:v>
                </c:pt>
                <c:pt idx="22">
                  <c:v>1419.0737363055025</c:v>
                </c:pt>
                <c:pt idx="23">
                  <c:v>1431.3016254306965</c:v>
                </c:pt>
                <c:pt idx="24">
                  <c:v>1449.9928749068797</c:v>
                </c:pt>
                <c:pt idx="25">
                  <c:v>1433.739373322464</c:v>
                </c:pt>
                <c:pt idx="26">
                  <c:v>1431.2526442170681</c:v>
                </c:pt>
                <c:pt idx="27">
                  <c:v>1414.0863415882711</c:v>
                </c:pt>
                <c:pt idx="28">
                  <c:v>1506.8808663123707</c:v>
                </c:pt>
                <c:pt idx="29">
                  <c:v>1327.77817985096</c:v>
                </c:pt>
                <c:pt idx="30">
                  <c:v>1271.3794496587138</c:v>
                </c:pt>
                <c:pt idx="31">
                  <c:v>1495.2158402553637</c:v>
                </c:pt>
                <c:pt idx="32">
                  <c:v>1558.0457530092754</c:v>
                </c:pt>
                <c:pt idx="33">
                  <c:v>1366.8315862160312</c:v>
                </c:pt>
                <c:pt idx="34">
                  <c:v>1548.0804396060028</c:v>
                </c:pt>
                <c:pt idx="35">
                  <c:v>1455.544539140566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A-4D20-92AB-E13CC7C8D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956575"/>
        <c:axId val="795957535"/>
      </c:lineChart>
      <c:catAx>
        <c:axId val="79595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57535"/>
        <c:crosses val="autoZero"/>
        <c:auto val="1"/>
        <c:lblAlgn val="ctr"/>
        <c:lblOffset val="100"/>
        <c:noMultiLvlLbl val="0"/>
      </c:catAx>
      <c:valAx>
        <c:axId val="79595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5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WS159847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Sheet2!$B$2:$B$37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Sheet2!$C$2:$C$37</c:f>
              <c:numCache>
                <c:formatCode>General</c:formatCode>
                <c:ptCount val="36"/>
                <c:pt idx="0">
                  <c:v>548</c:v>
                </c:pt>
                <c:pt idx="1">
                  <c:v>612</c:v>
                </c:pt>
                <c:pt idx="2">
                  <c:v>632</c:v>
                </c:pt>
                <c:pt idx="3">
                  <c:v>745</c:v>
                </c:pt>
                <c:pt idx="4">
                  <c:v>649</c:v>
                </c:pt>
                <c:pt idx="5">
                  <c:v>789</c:v>
                </c:pt>
                <c:pt idx="6">
                  <c:v>1240</c:v>
                </c:pt>
                <c:pt idx="7">
                  <c:v>1180</c:v>
                </c:pt>
                <c:pt idx="8">
                  <c:v>1160</c:v>
                </c:pt>
                <c:pt idx="9">
                  <c:v>1070</c:v>
                </c:pt>
                <c:pt idx="10">
                  <c:v>1010</c:v>
                </c:pt>
                <c:pt idx="11">
                  <c:v>1000</c:v>
                </c:pt>
                <c:pt idx="12">
                  <c:v>1320</c:v>
                </c:pt>
                <c:pt idx="13">
                  <c:v>1360</c:v>
                </c:pt>
                <c:pt idx="14">
                  <c:v>1580</c:v>
                </c:pt>
                <c:pt idx="15">
                  <c:v>1640</c:v>
                </c:pt>
                <c:pt idx="16">
                  <c:v>1580</c:v>
                </c:pt>
                <c:pt idx="17">
                  <c:v>1570</c:v>
                </c:pt>
                <c:pt idx="18">
                  <c:v>1260</c:v>
                </c:pt>
                <c:pt idx="19">
                  <c:v>1190</c:v>
                </c:pt>
                <c:pt idx="20">
                  <c:v>1170</c:v>
                </c:pt>
                <c:pt idx="21">
                  <c:v>1140</c:v>
                </c:pt>
                <c:pt idx="22">
                  <c:v>1040</c:v>
                </c:pt>
                <c:pt idx="23">
                  <c:v>1030</c:v>
                </c:pt>
                <c:pt idx="24">
                  <c:v>1500</c:v>
                </c:pt>
                <c:pt idx="25">
                  <c:v>1550</c:v>
                </c:pt>
                <c:pt idx="26">
                  <c:v>1740</c:v>
                </c:pt>
                <c:pt idx="27">
                  <c:v>2020</c:v>
                </c:pt>
                <c:pt idx="28">
                  <c:v>1930</c:v>
                </c:pt>
                <c:pt idx="29">
                  <c:v>1800</c:v>
                </c:pt>
                <c:pt idx="30">
                  <c:v>1430</c:v>
                </c:pt>
                <c:pt idx="31">
                  <c:v>1370</c:v>
                </c:pt>
                <c:pt idx="32">
                  <c:v>1320</c:v>
                </c:pt>
                <c:pt idx="33">
                  <c:v>1240</c:v>
                </c:pt>
                <c:pt idx="34">
                  <c:v>1220</c:v>
                </c:pt>
                <c:pt idx="35">
                  <c:v>1210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3D-4892-88C6-BD877F4A2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977247"/>
        <c:axId val="316979647"/>
      </c:lineChart>
      <c:dateAx>
        <c:axId val="316977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979647"/>
        <c:crosses val="autoZero"/>
        <c:auto val="1"/>
        <c:lblOffset val="100"/>
        <c:baseTimeUnit val="months"/>
      </c:dateAx>
      <c:valAx>
        <c:axId val="31697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Demand</a:t>
                </a:r>
              </a:p>
            </c:rich>
          </c:tx>
          <c:layout>
            <c:manualLayout>
              <c:xMode val="edge"/>
              <c:yMode val="edge"/>
              <c:x val="3.3333333333333333E-2"/>
              <c:y val="0.354749198016914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97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vs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Sheet2!$B$2:$B$37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Sheet2!$C$2:$C$37</c:f>
              <c:numCache>
                <c:formatCode>General</c:formatCode>
                <c:ptCount val="36"/>
                <c:pt idx="0">
                  <c:v>548</c:v>
                </c:pt>
                <c:pt idx="1">
                  <c:v>612</c:v>
                </c:pt>
                <c:pt idx="2">
                  <c:v>632</c:v>
                </c:pt>
                <c:pt idx="3">
                  <c:v>745</c:v>
                </c:pt>
                <c:pt idx="4">
                  <c:v>649</c:v>
                </c:pt>
                <c:pt idx="5">
                  <c:v>789</c:v>
                </c:pt>
                <c:pt idx="6">
                  <c:v>1240</c:v>
                </c:pt>
                <c:pt idx="7">
                  <c:v>1180</c:v>
                </c:pt>
                <c:pt idx="8">
                  <c:v>1160</c:v>
                </c:pt>
                <c:pt idx="9">
                  <c:v>1070</c:v>
                </c:pt>
                <c:pt idx="10">
                  <c:v>1010</c:v>
                </c:pt>
                <c:pt idx="11">
                  <c:v>1000</c:v>
                </c:pt>
                <c:pt idx="12">
                  <c:v>1320</c:v>
                </c:pt>
                <c:pt idx="13">
                  <c:v>1360</c:v>
                </c:pt>
                <c:pt idx="14">
                  <c:v>1580</c:v>
                </c:pt>
                <c:pt idx="15">
                  <c:v>1640</c:v>
                </c:pt>
                <c:pt idx="16">
                  <c:v>1580</c:v>
                </c:pt>
                <c:pt idx="17">
                  <c:v>1570</c:v>
                </c:pt>
                <c:pt idx="18">
                  <c:v>1260</c:v>
                </c:pt>
                <c:pt idx="19">
                  <c:v>1190</c:v>
                </c:pt>
                <c:pt idx="20">
                  <c:v>1170</c:v>
                </c:pt>
                <c:pt idx="21">
                  <c:v>1140</c:v>
                </c:pt>
                <c:pt idx="22">
                  <c:v>1040</c:v>
                </c:pt>
                <c:pt idx="23">
                  <c:v>1030</c:v>
                </c:pt>
                <c:pt idx="24">
                  <c:v>1500</c:v>
                </c:pt>
                <c:pt idx="25">
                  <c:v>1550</c:v>
                </c:pt>
                <c:pt idx="26">
                  <c:v>1740</c:v>
                </c:pt>
                <c:pt idx="27">
                  <c:v>2020</c:v>
                </c:pt>
                <c:pt idx="28">
                  <c:v>1930</c:v>
                </c:pt>
                <c:pt idx="29">
                  <c:v>1800</c:v>
                </c:pt>
                <c:pt idx="30">
                  <c:v>1430</c:v>
                </c:pt>
                <c:pt idx="31">
                  <c:v>1370</c:v>
                </c:pt>
                <c:pt idx="32">
                  <c:v>1320</c:v>
                </c:pt>
                <c:pt idx="33">
                  <c:v>1240</c:v>
                </c:pt>
                <c:pt idx="34">
                  <c:v>1220</c:v>
                </c:pt>
                <c:pt idx="35">
                  <c:v>1210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1-4BB9-B524-1CE3DD0D5370}"/>
            </c:ext>
          </c:extLst>
        </c:ser>
        <c:ser>
          <c:idx val="1"/>
          <c:order val="1"/>
          <c:tx>
            <c:strRef>
              <c:f>Sheet2!$J$1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Sheet2!$B$2:$B$37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Sheet2!$J$2:$J$37</c:f>
              <c:numCache>
                <c:formatCode>0.00</c:formatCode>
                <c:ptCount val="36"/>
                <c:pt idx="0">
                  <c:v>792.02846423506185</c:v>
                </c:pt>
                <c:pt idx="1">
                  <c:v>838.28228298031331</c:v>
                </c:pt>
                <c:pt idx="2">
                  <c:v>981.63129240330147</c:v>
                </c:pt>
                <c:pt idx="3">
                  <c:v>1104.9610283736481</c:v>
                </c:pt>
                <c:pt idx="4">
                  <c:v>1084.3444178193863</c:v>
                </c:pt>
                <c:pt idx="5">
                  <c:v>1066.0576430900614</c:v>
                </c:pt>
                <c:pt idx="6">
                  <c:v>1060.4646326492016</c:v>
                </c:pt>
                <c:pt idx="7">
                  <c:v>988.4791907300372</c:v>
                </c:pt>
                <c:pt idx="8">
                  <c:v>953.71692901013239</c:v>
                </c:pt>
                <c:pt idx="9">
                  <c:v>882.81927366885782</c:v>
                </c:pt>
                <c:pt idx="10">
                  <c:v>803.33008784951346</c:v>
                </c:pt>
                <c:pt idx="11">
                  <c:v>783.86698989983279</c:v>
                </c:pt>
                <c:pt idx="12">
                  <c:v>1090.6063922658961</c:v>
                </c:pt>
                <c:pt idx="13">
                  <c:v>1144.6717260680077</c:v>
                </c:pt>
                <c:pt idx="14">
                  <c:v>1329.8094980574672</c:v>
                </c:pt>
                <c:pt idx="15">
                  <c:v>1485.6317021692139</c:v>
                </c:pt>
                <c:pt idx="16">
                  <c:v>1447.4869191962177</c:v>
                </c:pt>
                <c:pt idx="17">
                  <c:v>1413.3828300890686</c:v>
                </c:pt>
                <c:pt idx="18">
                  <c:v>1396.8350463521174</c:v>
                </c:pt>
                <c:pt idx="19">
                  <c:v>1293.942239665703</c:v>
                </c:pt>
                <c:pt idx="20">
                  <c:v>1241.0385427976569</c:v>
                </c:pt>
                <c:pt idx="21">
                  <c:v>1142.2683208194023</c:v>
                </c:pt>
                <c:pt idx="22">
                  <c:v>1033.7745833164281</c:v>
                </c:pt>
                <c:pt idx="23">
                  <c:v>1003.4784319121687</c:v>
                </c:pt>
                <c:pt idx="24">
                  <c:v>1389.1843202967304</c:v>
                </c:pt>
                <c:pt idx="25">
                  <c:v>1451.0611691557019</c:v>
                </c:pt>
                <c:pt idx="26">
                  <c:v>1677.9877037116335</c:v>
                </c:pt>
                <c:pt idx="27">
                  <c:v>1866.3023759647806</c:v>
                </c:pt>
                <c:pt idx="28">
                  <c:v>1810.6294205730496</c:v>
                </c:pt>
                <c:pt idx="29">
                  <c:v>1760.7080170880765</c:v>
                </c:pt>
                <c:pt idx="30">
                  <c:v>1733.2054600550337</c:v>
                </c:pt>
                <c:pt idx="31">
                  <c:v>1599.4052886013687</c:v>
                </c:pt>
                <c:pt idx="32">
                  <c:v>1528.3601565851814</c:v>
                </c:pt>
                <c:pt idx="33">
                  <c:v>1401.7173679699467</c:v>
                </c:pt>
                <c:pt idx="34">
                  <c:v>1264.2190787833422</c:v>
                </c:pt>
                <c:pt idx="35">
                  <c:v>1223.0898739245044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C1-4BB9-B524-1CE3DD0D5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603039"/>
        <c:axId val="401603519"/>
      </c:lineChart>
      <c:dateAx>
        <c:axId val="40160303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03519"/>
        <c:crosses val="autoZero"/>
        <c:auto val="1"/>
        <c:lblOffset val="100"/>
        <c:baseTimeUnit val="months"/>
      </c:dateAx>
      <c:valAx>
        <c:axId val="40160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0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MS653209 </a:t>
            </a:r>
            <a:endParaRPr lang="en-US" b="1"/>
          </a:p>
        </c:rich>
      </c:tx>
      <c:layout>
        <c:manualLayout>
          <c:xMode val="edge"/>
          <c:yMode val="edge"/>
          <c:x val="0.42197222222222219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Sheet5!$C$1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Sheet5!$B$2:$B$37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Sheet5!$C$2:$C$37</c:f>
              <c:numCache>
                <c:formatCode>General</c:formatCode>
                <c:ptCount val="36"/>
                <c:pt idx="0">
                  <c:v>569</c:v>
                </c:pt>
                <c:pt idx="1">
                  <c:v>621</c:v>
                </c:pt>
                <c:pt idx="2">
                  <c:v>459</c:v>
                </c:pt>
                <c:pt idx="3">
                  <c:v>784</c:v>
                </c:pt>
                <c:pt idx="4">
                  <c:v>649</c:v>
                </c:pt>
                <c:pt idx="5">
                  <c:v>799</c:v>
                </c:pt>
                <c:pt idx="6">
                  <c:v>1006</c:v>
                </c:pt>
                <c:pt idx="7">
                  <c:v>1068</c:v>
                </c:pt>
                <c:pt idx="8">
                  <c:v>1082</c:v>
                </c:pt>
                <c:pt idx="9">
                  <c:v>1097</c:v>
                </c:pt>
                <c:pt idx="10">
                  <c:v>1131</c:v>
                </c:pt>
                <c:pt idx="11">
                  <c:v>1184</c:v>
                </c:pt>
                <c:pt idx="12">
                  <c:v>1163</c:v>
                </c:pt>
                <c:pt idx="13">
                  <c:v>1147</c:v>
                </c:pt>
                <c:pt idx="14">
                  <c:v>1219</c:v>
                </c:pt>
                <c:pt idx="15">
                  <c:v>1242</c:v>
                </c:pt>
                <c:pt idx="16">
                  <c:v>1293</c:v>
                </c:pt>
                <c:pt idx="17">
                  <c:v>1274</c:v>
                </c:pt>
                <c:pt idx="18">
                  <c:v>1328</c:v>
                </c:pt>
                <c:pt idx="19">
                  <c:v>1381</c:v>
                </c:pt>
                <c:pt idx="20">
                  <c:v>1357</c:v>
                </c:pt>
                <c:pt idx="21">
                  <c:v>1419</c:v>
                </c:pt>
                <c:pt idx="22">
                  <c:v>1452</c:v>
                </c:pt>
                <c:pt idx="23">
                  <c:v>1476</c:v>
                </c:pt>
                <c:pt idx="24">
                  <c:v>1451</c:v>
                </c:pt>
                <c:pt idx="25">
                  <c:v>1359</c:v>
                </c:pt>
                <c:pt idx="26">
                  <c:v>1392</c:v>
                </c:pt>
                <c:pt idx="27">
                  <c:v>1349</c:v>
                </c:pt>
                <c:pt idx="28">
                  <c:v>1557</c:v>
                </c:pt>
                <c:pt idx="29">
                  <c:v>1171</c:v>
                </c:pt>
                <c:pt idx="30">
                  <c:v>1329</c:v>
                </c:pt>
                <c:pt idx="31">
                  <c:v>1588</c:v>
                </c:pt>
                <c:pt idx="32">
                  <c:v>1596</c:v>
                </c:pt>
                <c:pt idx="33">
                  <c:v>1399</c:v>
                </c:pt>
                <c:pt idx="34">
                  <c:v>1584</c:v>
                </c:pt>
                <c:pt idx="35">
                  <c:v>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BF-4DE9-8F18-868EA8C71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663792"/>
        <c:axId val="371652752"/>
      </c:lineChart>
      <c:dateAx>
        <c:axId val="37166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652752"/>
        <c:crosses val="autoZero"/>
        <c:auto val="1"/>
        <c:lblOffset val="100"/>
        <c:baseTimeUnit val="months"/>
      </c:dateAx>
      <c:valAx>
        <c:axId val="37165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66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Actual vs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Sheet5!$C$1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Sheet5!$B$2:$B$37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Sheet5!$C$2:$C$37</c:f>
              <c:numCache>
                <c:formatCode>General</c:formatCode>
                <c:ptCount val="36"/>
                <c:pt idx="0">
                  <c:v>569</c:v>
                </c:pt>
                <c:pt idx="1">
                  <c:v>621</c:v>
                </c:pt>
                <c:pt idx="2">
                  <c:v>459</c:v>
                </c:pt>
                <c:pt idx="3">
                  <c:v>784</c:v>
                </c:pt>
                <c:pt idx="4">
                  <c:v>649</c:v>
                </c:pt>
                <c:pt idx="5">
                  <c:v>799</c:v>
                </c:pt>
                <c:pt idx="6">
                  <c:v>1006</c:v>
                </c:pt>
                <c:pt idx="7">
                  <c:v>1068</c:v>
                </c:pt>
                <c:pt idx="8">
                  <c:v>1082</c:v>
                </c:pt>
                <c:pt idx="9">
                  <c:v>1097</c:v>
                </c:pt>
                <c:pt idx="10">
                  <c:v>1131</c:v>
                </c:pt>
                <c:pt idx="11">
                  <c:v>1184</c:v>
                </c:pt>
                <c:pt idx="12">
                  <c:v>1163</c:v>
                </c:pt>
                <c:pt idx="13">
                  <c:v>1147</c:v>
                </c:pt>
                <c:pt idx="14">
                  <c:v>1219</c:v>
                </c:pt>
                <c:pt idx="15">
                  <c:v>1242</c:v>
                </c:pt>
                <c:pt idx="16">
                  <c:v>1293</c:v>
                </c:pt>
                <c:pt idx="17">
                  <c:v>1274</c:v>
                </c:pt>
                <c:pt idx="18">
                  <c:v>1328</c:v>
                </c:pt>
                <c:pt idx="19">
                  <c:v>1381</c:v>
                </c:pt>
                <c:pt idx="20">
                  <c:v>1357</c:v>
                </c:pt>
                <c:pt idx="21">
                  <c:v>1419</c:v>
                </c:pt>
                <c:pt idx="22">
                  <c:v>1452</c:v>
                </c:pt>
                <c:pt idx="23">
                  <c:v>1476</c:v>
                </c:pt>
                <c:pt idx="24">
                  <c:v>1451</c:v>
                </c:pt>
                <c:pt idx="25">
                  <c:v>1359</c:v>
                </c:pt>
                <c:pt idx="26">
                  <c:v>1392</c:v>
                </c:pt>
                <c:pt idx="27">
                  <c:v>1349</c:v>
                </c:pt>
                <c:pt idx="28">
                  <c:v>1557</c:v>
                </c:pt>
                <c:pt idx="29">
                  <c:v>1171</c:v>
                </c:pt>
                <c:pt idx="30">
                  <c:v>1329</c:v>
                </c:pt>
                <c:pt idx="31">
                  <c:v>1588</c:v>
                </c:pt>
                <c:pt idx="32">
                  <c:v>1596</c:v>
                </c:pt>
                <c:pt idx="33">
                  <c:v>1399</c:v>
                </c:pt>
                <c:pt idx="34">
                  <c:v>1584</c:v>
                </c:pt>
                <c:pt idx="35">
                  <c:v>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5F-4A12-8231-C03D74A25CC5}"/>
            </c:ext>
          </c:extLst>
        </c:ser>
        <c:ser>
          <c:idx val="1"/>
          <c:order val="1"/>
          <c:tx>
            <c:strRef>
              <c:f>Sheet5!$J$1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Sheet5!$B$2:$B$37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Sheet5!$J$2:$J$37</c:f>
              <c:numCache>
                <c:formatCode>0.00</c:formatCode>
                <c:ptCount val="36"/>
                <c:pt idx="0">
                  <c:v>781.53745760493973</c:v>
                </c:pt>
                <c:pt idx="1">
                  <c:v>763.30157374694829</c:v>
                </c:pt>
                <c:pt idx="2">
                  <c:v>806.81386662637783</c:v>
                </c:pt>
                <c:pt idx="3">
                  <c:v>814.54973160003385</c:v>
                </c:pt>
                <c:pt idx="4">
                  <c:v>907.34193098220203</c:v>
                </c:pt>
                <c:pt idx="5">
                  <c:v>795.86623431228247</c:v>
                </c:pt>
                <c:pt idx="6">
                  <c:v>968.70446138688612</c:v>
                </c:pt>
                <c:pt idx="7">
                  <c:v>1010.0027563526093</c:v>
                </c:pt>
                <c:pt idx="8">
                  <c:v>999.03285702209644</c:v>
                </c:pt>
                <c:pt idx="9">
                  <c:v>1023.0846682957632</c:v>
                </c:pt>
                <c:pt idx="10">
                  <c:v>1047.6009117541412</c:v>
                </c:pt>
                <c:pt idx="11">
                  <c:v>1080.8622393162423</c:v>
                </c:pt>
                <c:pt idx="12">
                  <c:v>1073.159869906211</c:v>
                </c:pt>
                <c:pt idx="13">
                  <c:v>1039.5301459470968</c:v>
                </c:pt>
                <c:pt idx="14">
                  <c:v>1090.2415630844721</c:v>
                </c:pt>
                <c:pt idx="15">
                  <c:v>1092.5565041981272</c:v>
                </c:pt>
                <c:pt idx="16">
                  <c:v>1208.4546135729579</c:v>
                </c:pt>
                <c:pt idx="17">
                  <c:v>1052.8766485354661</c:v>
                </c:pt>
                <c:pt idx="18">
                  <c:v>1273.3319902524543</c:v>
                </c:pt>
                <c:pt idx="19">
                  <c:v>1319.5065400477874</c:v>
                </c:pt>
                <c:pt idx="20">
                  <c:v>1297.5518954403676</c:v>
                </c:pt>
                <c:pt idx="21">
                  <c:v>1321.3632449042225</c:v>
                </c:pt>
                <c:pt idx="22">
                  <c:v>1345.78262647013</c:v>
                </c:pt>
                <c:pt idx="23">
                  <c:v>1381.3830466412301</c:v>
                </c:pt>
                <c:pt idx="24">
                  <c:v>1364.7822822074825</c:v>
                </c:pt>
                <c:pt idx="25">
                  <c:v>1315.7587181472452</c:v>
                </c:pt>
                <c:pt idx="26">
                  <c:v>1373.6692595425664</c:v>
                </c:pt>
                <c:pt idx="27">
                  <c:v>1370.5632767962202</c:v>
                </c:pt>
                <c:pt idx="28">
                  <c:v>1509.5672961637135</c:v>
                </c:pt>
                <c:pt idx="29">
                  <c:v>1309.8870627586496</c:v>
                </c:pt>
                <c:pt idx="30">
                  <c:v>1577.9595191180226</c:v>
                </c:pt>
                <c:pt idx="31">
                  <c:v>1629.0103237429655</c:v>
                </c:pt>
                <c:pt idx="32">
                  <c:v>1596.0709338586385</c:v>
                </c:pt>
                <c:pt idx="33">
                  <c:v>1619.6418215126814</c:v>
                </c:pt>
                <c:pt idx="34">
                  <c:v>1643.9643411861191</c:v>
                </c:pt>
                <c:pt idx="35">
                  <c:v>1681.9038539662174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5F-4A12-8231-C03D74A25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2332928"/>
        <c:axId val="1022334848"/>
      </c:lineChart>
      <c:dateAx>
        <c:axId val="10223329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334848"/>
        <c:crosses val="autoZero"/>
        <c:auto val="1"/>
        <c:lblOffset val="100"/>
        <c:baseTimeUnit val="months"/>
      </c:dateAx>
      <c:valAx>
        <c:axId val="10223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33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EC039F-2D24-A04B-6047-476246BAF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12</xdr:row>
      <xdr:rowOff>76200</xdr:rowOff>
    </xdr:from>
    <xdr:to>
      <xdr:col>18</xdr:col>
      <xdr:colOff>53340</xdr:colOff>
      <xdr:row>31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0B20E-D217-B0EE-7C77-7D4E60C80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74</xdr:row>
      <xdr:rowOff>7620</xdr:rowOff>
    </xdr:from>
    <xdr:to>
      <xdr:col>7</xdr:col>
      <xdr:colOff>312420</xdr:colOff>
      <xdr:row>89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AF3C54-CA54-74D3-72C5-EEE59B998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472440</xdr:colOff>
      <xdr:row>17</xdr:row>
      <xdr:rowOff>26670</xdr:rowOff>
    </xdr:from>
    <xdr:to>
      <xdr:col>19</xdr:col>
      <xdr:colOff>167640</xdr:colOff>
      <xdr:row>32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947D6D-E4C1-DBFE-410F-83F366715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</xdr:colOff>
      <xdr:row>5</xdr:row>
      <xdr:rowOff>41910</xdr:rowOff>
    </xdr:from>
    <xdr:to>
      <xdr:col>11</xdr:col>
      <xdr:colOff>464820</xdr:colOff>
      <xdr:row>20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D1F9EA-E8B9-B8D7-DC55-AC5B8EE9E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53340</xdr:colOff>
      <xdr:row>18</xdr:row>
      <xdr:rowOff>64770</xdr:rowOff>
    </xdr:from>
    <xdr:to>
      <xdr:col>20</xdr:col>
      <xdr:colOff>358140</xdr:colOff>
      <xdr:row>33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E83904-AE4C-4288-256D-E304B3126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541020</xdr:colOff>
      <xdr:row>5</xdr:row>
      <xdr:rowOff>41910</xdr:rowOff>
    </xdr:from>
    <xdr:to>
      <xdr:col>13</xdr:col>
      <xdr:colOff>312420</xdr:colOff>
      <xdr:row>20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FA71E2-D872-0309-3264-A321429D8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BF33-2228-4F14-9B2C-0ADA393EC84E}">
  <dimension ref="A1:D14"/>
  <sheetViews>
    <sheetView workbookViewId="0">
      <selection activeCell="C8" sqref="C8"/>
    </sheetView>
  </sheetViews>
  <sheetFormatPr defaultRowHeight="14.4" x14ac:dyDescent="0.3"/>
  <sheetData>
    <row r="1" spans="1:4" x14ac:dyDescent="0.3">
      <c r="B1" t="s">
        <v>1</v>
      </c>
    </row>
    <row r="2" spans="1:4" x14ac:dyDescent="0.3">
      <c r="A2" t="s">
        <v>0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 s="10">
        <v>569</v>
      </c>
      <c r="C3" s="10">
        <v>1163</v>
      </c>
      <c r="D3" s="10">
        <v>1451</v>
      </c>
    </row>
    <row r="4" spans="1:4" x14ac:dyDescent="0.3">
      <c r="A4" t="s">
        <v>7</v>
      </c>
      <c r="B4" s="10">
        <v>621</v>
      </c>
      <c r="C4" s="10">
        <v>1147</v>
      </c>
      <c r="D4" s="10">
        <v>1359</v>
      </c>
    </row>
    <row r="5" spans="1:4" x14ac:dyDescent="0.3">
      <c r="A5" t="s">
        <v>8</v>
      </c>
      <c r="B5" s="10">
        <v>459</v>
      </c>
      <c r="C5" s="10">
        <v>1219</v>
      </c>
      <c r="D5" s="10">
        <v>1392</v>
      </c>
    </row>
    <row r="6" spans="1:4" x14ac:dyDescent="0.3">
      <c r="A6" t="s">
        <v>9</v>
      </c>
      <c r="B6" s="10">
        <v>784</v>
      </c>
      <c r="C6" s="10">
        <v>1242</v>
      </c>
      <c r="D6" s="10">
        <v>1349</v>
      </c>
    </row>
    <row r="7" spans="1:4" x14ac:dyDescent="0.3">
      <c r="A7" t="s">
        <v>10</v>
      </c>
      <c r="B7" s="10">
        <v>649</v>
      </c>
      <c r="C7" s="10">
        <v>1050</v>
      </c>
      <c r="D7" s="10">
        <v>1557</v>
      </c>
    </row>
    <row r="8" spans="1:4" x14ac:dyDescent="0.3">
      <c r="A8" t="s">
        <v>11</v>
      </c>
      <c r="B8" s="10">
        <v>799</v>
      </c>
      <c r="C8" s="10">
        <v>1274</v>
      </c>
      <c r="D8" s="10">
        <v>1171</v>
      </c>
    </row>
    <row r="9" spans="1:4" x14ac:dyDescent="0.3">
      <c r="A9" t="s">
        <v>12</v>
      </c>
      <c r="B9" s="10">
        <v>1006</v>
      </c>
      <c r="C9" s="10">
        <v>1479</v>
      </c>
      <c r="D9" s="10">
        <v>1329</v>
      </c>
    </row>
    <row r="10" spans="1:4" x14ac:dyDescent="0.3">
      <c r="A10" t="s">
        <v>13</v>
      </c>
      <c r="B10" s="10">
        <v>1068</v>
      </c>
      <c r="C10" s="10">
        <v>1381</v>
      </c>
      <c r="D10" s="10">
        <v>1588</v>
      </c>
    </row>
    <row r="11" spans="1:4" x14ac:dyDescent="0.3">
      <c r="A11" t="s">
        <v>14</v>
      </c>
      <c r="B11" s="10">
        <v>1082</v>
      </c>
      <c r="C11" s="10">
        <v>1357</v>
      </c>
      <c r="D11" s="10">
        <v>1596</v>
      </c>
    </row>
    <row r="12" spans="1:4" x14ac:dyDescent="0.3">
      <c r="A12" t="s">
        <v>15</v>
      </c>
      <c r="B12" s="10">
        <v>1097</v>
      </c>
      <c r="C12" s="10">
        <v>1419</v>
      </c>
      <c r="D12" s="10">
        <v>1399</v>
      </c>
    </row>
    <row r="13" spans="1:4" x14ac:dyDescent="0.3">
      <c r="A13" t="s">
        <v>16</v>
      </c>
      <c r="B13" s="10">
        <v>1131</v>
      </c>
      <c r="C13" s="10">
        <v>1452</v>
      </c>
      <c r="D13" s="10">
        <v>1584</v>
      </c>
    </row>
    <row r="14" spans="1:4" x14ac:dyDescent="0.3">
      <c r="A14" t="s">
        <v>6</v>
      </c>
      <c r="B14" s="10">
        <v>1184</v>
      </c>
      <c r="C14" s="10">
        <v>1476</v>
      </c>
      <c r="D14" s="10">
        <v>1501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5AC4-CBF4-4777-A076-C19A7895DFD5}">
  <dimension ref="A1:B36"/>
  <sheetViews>
    <sheetView workbookViewId="0">
      <selection activeCell="B26" sqref="B26"/>
    </sheetView>
  </sheetViews>
  <sheetFormatPr defaultRowHeight="14.4" x14ac:dyDescent="0.3"/>
  <sheetData>
    <row r="1" spans="1:2" x14ac:dyDescent="0.3">
      <c r="A1" s="1">
        <v>44562</v>
      </c>
      <c r="B1">
        <v>647</v>
      </c>
    </row>
    <row r="2" spans="1:2" x14ac:dyDescent="0.3">
      <c r="A2" s="1">
        <v>44593</v>
      </c>
      <c r="B2">
        <v>785</v>
      </c>
    </row>
    <row r="3" spans="1:2" x14ac:dyDescent="0.3">
      <c r="A3" s="1">
        <v>44621</v>
      </c>
      <c r="B3">
        <v>1065</v>
      </c>
    </row>
    <row r="4" spans="1:2" x14ac:dyDescent="0.3">
      <c r="A4" s="1">
        <v>44652</v>
      </c>
      <c r="B4">
        <v>608</v>
      </c>
    </row>
    <row r="5" spans="1:2" x14ac:dyDescent="0.3">
      <c r="A5" s="1">
        <v>44682</v>
      </c>
      <c r="B5">
        <v>512</v>
      </c>
    </row>
    <row r="6" spans="1:2" x14ac:dyDescent="0.3">
      <c r="A6" s="1">
        <v>44713</v>
      </c>
      <c r="B6">
        <v>702</v>
      </c>
    </row>
    <row r="7" spans="1:2" x14ac:dyDescent="0.3">
      <c r="A7" s="1">
        <v>44743</v>
      </c>
      <c r="B7">
        <v>866</v>
      </c>
    </row>
    <row r="8" spans="1:2" x14ac:dyDescent="0.3">
      <c r="A8" s="1">
        <v>44774</v>
      </c>
      <c r="B8">
        <v>693</v>
      </c>
    </row>
    <row r="9" spans="1:2" x14ac:dyDescent="0.3">
      <c r="A9" s="1">
        <v>44805</v>
      </c>
      <c r="B9">
        <v>556</v>
      </c>
    </row>
    <row r="10" spans="1:2" x14ac:dyDescent="0.3">
      <c r="A10" s="1">
        <v>44835</v>
      </c>
      <c r="B10">
        <v>971</v>
      </c>
    </row>
    <row r="11" spans="1:2" x14ac:dyDescent="0.3">
      <c r="A11" s="1">
        <v>44866</v>
      </c>
      <c r="B11">
        <v>785</v>
      </c>
    </row>
    <row r="12" spans="1:2" x14ac:dyDescent="0.3">
      <c r="A12" s="1">
        <v>44896</v>
      </c>
      <c r="B12">
        <v>456</v>
      </c>
    </row>
    <row r="13" spans="1:2" x14ac:dyDescent="0.3">
      <c r="A13" s="1">
        <v>44927</v>
      </c>
      <c r="B13">
        <v>1228</v>
      </c>
    </row>
    <row r="14" spans="1:2" x14ac:dyDescent="0.3">
      <c r="A14" s="1">
        <v>44958</v>
      </c>
      <c r="B14">
        <v>665</v>
      </c>
    </row>
    <row r="15" spans="1:2" x14ac:dyDescent="0.3">
      <c r="A15" s="1">
        <v>44986</v>
      </c>
      <c r="B15">
        <v>1441</v>
      </c>
    </row>
    <row r="16" spans="1:2" x14ac:dyDescent="0.3">
      <c r="A16" s="1">
        <v>45017</v>
      </c>
      <c r="B16">
        <v>1459</v>
      </c>
    </row>
    <row r="17" spans="1:2" x14ac:dyDescent="0.3">
      <c r="A17" s="1">
        <v>45047</v>
      </c>
      <c r="B17">
        <v>1123</v>
      </c>
    </row>
    <row r="18" spans="1:2" x14ac:dyDescent="0.3">
      <c r="A18" s="1">
        <v>45078</v>
      </c>
      <c r="B18">
        <v>851</v>
      </c>
    </row>
    <row r="19" spans="1:2" x14ac:dyDescent="0.3">
      <c r="A19" s="1">
        <v>45108</v>
      </c>
      <c r="B19">
        <v>1152</v>
      </c>
    </row>
    <row r="20" spans="1:2" x14ac:dyDescent="0.3">
      <c r="A20" s="1">
        <v>45139</v>
      </c>
      <c r="B20">
        <v>1236</v>
      </c>
    </row>
    <row r="21" spans="1:2" x14ac:dyDescent="0.3">
      <c r="A21" s="1">
        <v>45170</v>
      </c>
      <c r="B21">
        <v>761</v>
      </c>
    </row>
    <row r="22" spans="1:2" x14ac:dyDescent="0.3">
      <c r="A22" s="1">
        <v>45200</v>
      </c>
      <c r="B22">
        <v>695</v>
      </c>
    </row>
    <row r="23" spans="1:2" x14ac:dyDescent="0.3">
      <c r="A23" s="1">
        <v>45231</v>
      </c>
      <c r="B23">
        <v>985</v>
      </c>
    </row>
    <row r="24" spans="1:2" x14ac:dyDescent="0.3">
      <c r="A24" s="1">
        <v>45261</v>
      </c>
      <c r="B24">
        <v>745</v>
      </c>
    </row>
    <row r="25" spans="1:2" x14ac:dyDescent="0.3">
      <c r="A25" s="1">
        <v>45292</v>
      </c>
      <c r="B25">
        <v>1478</v>
      </c>
    </row>
    <row r="26" spans="1:2" x14ac:dyDescent="0.3">
      <c r="A26" s="1">
        <v>45323</v>
      </c>
      <c r="B26">
        <v>1002</v>
      </c>
    </row>
    <row r="27" spans="1:2" x14ac:dyDescent="0.3">
      <c r="A27" s="1">
        <v>45352</v>
      </c>
      <c r="B27">
        <v>646</v>
      </c>
    </row>
    <row r="28" spans="1:2" x14ac:dyDescent="0.3">
      <c r="A28" s="1">
        <v>45383</v>
      </c>
      <c r="B28">
        <v>2041</v>
      </c>
    </row>
    <row r="29" spans="1:2" x14ac:dyDescent="0.3">
      <c r="A29" s="1">
        <v>45413</v>
      </c>
      <c r="B29">
        <v>1652</v>
      </c>
    </row>
    <row r="30" spans="1:2" x14ac:dyDescent="0.3">
      <c r="A30" s="1">
        <v>45444</v>
      </c>
      <c r="B30">
        <v>896</v>
      </c>
    </row>
    <row r="31" spans="1:2" x14ac:dyDescent="0.3">
      <c r="A31" s="1">
        <v>45474</v>
      </c>
      <c r="B31">
        <v>1659</v>
      </c>
    </row>
    <row r="32" spans="1:2" x14ac:dyDescent="0.3">
      <c r="A32" s="1">
        <v>45505</v>
      </c>
      <c r="B32">
        <v>1498</v>
      </c>
    </row>
    <row r="33" spans="1:2" x14ac:dyDescent="0.3">
      <c r="A33" s="1">
        <v>45536</v>
      </c>
      <c r="B33">
        <v>973</v>
      </c>
    </row>
    <row r="34" spans="1:2" x14ac:dyDescent="0.3">
      <c r="A34" s="1">
        <v>45566</v>
      </c>
      <c r="B34">
        <v>1269</v>
      </c>
    </row>
    <row r="35" spans="1:2" x14ac:dyDescent="0.3">
      <c r="A35" s="1">
        <v>45597</v>
      </c>
      <c r="B35">
        <v>1145</v>
      </c>
    </row>
    <row r="36" spans="1:2" x14ac:dyDescent="0.3">
      <c r="A36" s="1">
        <v>45627</v>
      </c>
      <c r="B36">
        <v>1365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AA57-5827-4227-8AAD-C5885EB2C271}">
  <dimension ref="A1:AC72"/>
  <sheetViews>
    <sheetView tabSelected="1" zoomScaleNormal="100" workbookViewId="0">
      <selection activeCell="G20" sqref="G20"/>
    </sheetView>
  </sheetViews>
  <sheetFormatPr defaultRowHeight="14.4" x14ac:dyDescent="0.3"/>
  <cols>
    <col min="1" max="1" width="9.6640625" bestFit="1" customWidth="1"/>
    <col min="2" max="2" width="9.6640625" customWidth="1"/>
    <col min="3" max="3" width="11.109375" bestFit="1" customWidth="1"/>
    <col min="4" max="4" width="12.44140625" bestFit="1" customWidth="1"/>
    <col min="5" max="5" width="7.5546875" bestFit="1" customWidth="1"/>
    <col min="6" max="6" width="10" bestFit="1" customWidth="1"/>
    <col min="7" max="7" width="10.5546875" bestFit="1" customWidth="1"/>
    <col min="8" max="8" width="12.6640625" bestFit="1" customWidth="1"/>
    <col min="9" max="9" width="14.44140625" bestFit="1" customWidth="1"/>
    <col min="10" max="11" width="7.6640625" bestFit="1" customWidth="1"/>
    <col min="13" max="13" width="22.5546875" style="2" bestFit="1" customWidth="1"/>
    <col min="14" max="14" width="12" bestFit="1" customWidth="1"/>
    <col min="15" max="15" width="12.6640625" bestFit="1" customWidth="1"/>
    <col min="16" max="16" width="12" bestFit="1" customWidth="1"/>
    <col min="17" max="17" width="7.5546875" bestFit="1" customWidth="1"/>
    <col min="18" max="18" width="11.109375" bestFit="1" customWidth="1"/>
    <col min="19" max="19" width="12" bestFit="1" customWidth="1"/>
    <col min="20" max="20" width="8.5546875" bestFit="1" customWidth="1"/>
    <col min="21" max="21" width="10.5546875" bestFit="1" customWidth="1"/>
    <col min="22" max="22" width="9.77734375" bestFit="1" customWidth="1"/>
    <col min="23" max="23" width="7" bestFit="1" customWidth="1"/>
    <col min="24" max="24" width="12.6640625" style="3" bestFit="1" customWidth="1"/>
    <col min="25" max="25" width="13.6640625" style="3" bestFit="1" customWidth="1"/>
    <col min="26" max="26" width="9" style="3" bestFit="1" customWidth="1"/>
    <col min="27" max="27" width="12" style="3" bestFit="1" customWidth="1"/>
    <col min="28" max="28" width="12.6640625" style="3" bestFit="1" customWidth="1"/>
    <col min="29" max="29" width="12" style="7" bestFit="1" customWidth="1"/>
  </cols>
  <sheetData>
    <row r="1" spans="1:29" x14ac:dyDescent="0.3">
      <c r="B1" t="s">
        <v>1</v>
      </c>
      <c r="F1" s="2"/>
      <c r="H1" s="2" t="s">
        <v>40</v>
      </c>
      <c r="K1" s="2" t="s">
        <v>41</v>
      </c>
      <c r="M1" s="2" t="s">
        <v>42</v>
      </c>
      <c r="N1" s="2" t="s">
        <v>43</v>
      </c>
    </row>
    <row r="2" spans="1:29" x14ac:dyDescent="0.3">
      <c r="A2" t="s">
        <v>0</v>
      </c>
      <c r="B2" t="s">
        <v>2</v>
      </c>
      <c r="C2" t="s">
        <v>3</v>
      </c>
      <c r="D2" t="s">
        <v>4</v>
      </c>
      <c r="F2" s="2" t="s">
        <v>34</v>
      </c>
      <c r="G2" t="s">
        <v>2</v>
      </c>
      <c r="H2" t="s">
        <v>3</v>
      </c>
      <c r="I2" t="s">
        <v>4</v>
      </c>
      <c r="J2" s="2"/>
      <c r="K2" s="2"/>
      <c r="M2"/>
    </row>
    <row r="3" spans="1:29" x14ac:dyDescent="0.3">
      <c r="A3" t="s">
        <v>5</v>
      </c>
      <c r="C3" s="10">
        <v>1163</v>
      </c>
      <c r="D3" s="10">
        <v>1451</v>
      </c>
      <c r="F3" s="2" t="s">
        <v>23</v>
      </c>
      <c r="H3" s="3">
        <v>1172.25</v>
      </c>
      <c r="I3" s="3">
        <v>1391.0416666666665</v>
      </c>
      <c r="J3" s="4"/>
      <c r="K3" s="4">
        <f>100*C3/H3</f>
        <v>99.210919172531462</v>
      </c>
      <c r="L3">
        <f>100*D3/I3</f>
        <v>104.31031900554142</v>
      </c>
      <c r="M3" s="4">
        <f>AVERAGE(J3:L3)</f>
        <v>101.76061908903644</v>
      </c>
      <c r="N3">
        <f t="shared" ref="N3:N14" si="0">M3*($L$15/$M$15)</f>
        <v>100.0694572442768</v>
      </c>
      <c r="O3">
        <v>100.0694572442768</v>
      </c>
      <c r="AC3" s="8"/>
    </row>
    <row r="4" spans="1:29" x14ac:dyDescent="0.3">
      <c r="A4" t="s">
        <v>7</v>
      </c>
      <c r="C4" s="10">
        <v>1147</v>
      </c>
      <c r="D4" s="10">
        <v>1359</v>
      </c>
      <c r="F4" s="2" t="s">
        <v>7</v>
      </c>
      <c r="H4" s="3">
        <v>1198.7083333333335</v>
      </c>
      <c r="I4" s="3">
        <v>1399.7083333333333</v>
      </c>
      <c r="J4" s="4"/>
      <c r="K4" s="4">
        <f t="shared" ref="K4:K14" si="1">100*C4/H4</f>
        <v>95.686329034724864</v>
      </c>
      <c r="L4">
        <f t="shared" ref="L4:L8" si="2">100*D4/I4</f>
        <v>97.091655999761855</v>
      </c>
      <c r="M4" s="4">
        <f t="shared" ref="M4:M14" si="3">AVERAGE(J4:L4)</f>
        <v>96.388992517243366</v>
      </c>
      <c r="N4">
        <f t="shared" si="0"/>
        <v>94.787101846183702</v>
      </c>
      <c r="O4">
        <v>94.787101846183702</v>
      </c>
      <c r="AC4" s="8"/>
    </row>
    <row r="5" spans="1:29" x14ac:dyDescent="0.3">
      <c r="A5" t="s">
        <v>8</v>
      </c>
      <c r="C5" s="10">
        <v>1219</v>
      </c>
      <c r="D5" s="10">
        <v>1392</v>
      </c>
      <c r="F5" s="2" t="s">
        <v>24</v>
      </c>
      <c r="H5" s="3">
        <v>1223.2083333333335</v>
      </c>
      <c r="I5" s="3">
        <v>1418.2916666666665</v>
      </c>
      <c r="J5" s="4"/>
      <c r="K5" s="4">
        <f t="shared" si="1"/>
        <v>99.655959396396071</v>
      </c>
      <c r="L5">
        <f t="shared" si="2"/>
        <v>98.146244014218993</v>
      </c>
      <c r="M5" s="4">
        <f t="shared" si="3"/>
        <v>98.901101705307525</v>
      </c>
      <c r="N5">
        <f t="shared" si="0"/>
        <v>97.25746223941195</v>
      </c>
      <c r="O5">
        <v>97.25746223941195</v>
      </c>
      <c r="AC5" s="8"/>
    </row>
    <row r="6" spans="1:29" x14ac:dyDescent="0.3">
      <c r="A6" t="s">
        <v>9</v>
      </c>
      <c r="C6" s="10">
        <v>1242</v>
      </c>
      <c r="D6" s="10">
        <v>1349</v>
      </c>
      <c r="F6" s="2" t="s">
        <v>25</v>
      </c>
      <c r="H6" s="3">
        <v>1248.0833333333335</v>
      </c>
      <c r="I6" s="3">
        <v>1427.4166666666665</v>
      </c>
      <c r="J6" s="4"/>
      <c r="K6" s="4">
        <f t="shared" si="1"/>
        <v>99.512585965146542</v>
      </c>
      <c r="L6">
        <f t="shared" si="2"/>
        <v>94.506392667406161</v>
      </c>
      <c r="M6" s="4">
        <f t="shared" si="3"/>
        <v>97.009489316276358</v>
      </c>
      <c r="N6">
        <f t="shared" si="0"/>
        <v>95.397286596010289</v>
      </c>
      <c r="O6">
        <v>95.397286596010289</v>
      </c>
      <c r="AC6" s="8"/>
    </row>
    <row r="7" spans="1:29" x14ac:dyDescent="0.3">
      <c r="A7" t="s">
        <v>10</v>
      </c>
      <c r="C7" s="10">
        <v>1293</v>
      </c>
      <c r="D7" s="10">
        <v>1557</v>
      </c>
      <c r="F7" s="2" t="s">
        <v>26</v>
      </c>
      <c r="H7" s="3">
        <v>1274.875</v>
      </c>
      <c r="I7" s="3">
        <v>1432.0833333333333</v>
      </c>
      <c r="J7" s="4"/>
      <c r="K7" s="4">
        <f t="shared" si="1"/>
        <v>101.42170801058927</v>
      </c>
      <c r="L7">
        <f t="shared" si="2"/>
        <v>108.72272330520804</v>
      </c>
      <c r="M7" s="4">
        <f t="shared" si="3"/>
        <v>105.07221565789865</v>
      </c>
      <c r="N7">
        <f t="shared" si="0"/>
        <v>103.32601832089622</v>
      </c>
      <c r="O7">
        <v>103.32601832089622</v>
      </c>
      <c r="AC7" s="8"/>
    </row>
    <row r="8" spans="1:29" x14ac:dyDescent="0.3">
      <c r="A8" t="s">
        <v>11</v>
      </c>
      <c r="C8" s="10">
        <v>1274</v>
      </c>
      <c r="D8" s="10">
        <v>1171</v>
      </c>
      <c r="F8" s="2" t="s">
        <v>27</v>
      </c>
      <c r="H8" s="3">
        <v>1300.4166666666665</v>
      </c>
      <c r="I8" s="3">
        <v>1438.625</v>
      </c>
      <c r="J8" s="4"/>
      <c r="K8" s="4">
        <f t="shared" si="1"/>
        <v>97.968599807753932</v>
      </c>
      <c r="L8">
        <f t="shared" si="2"/>
        <v>81.397167434181938</v>
      </c>
      <c r="M8" s="4">
        <f t="shared" si="3"/>
        <v>89.682883620967942</v>
      </c>
      <c r="N8">
        <f t="shared" si="0"/>
        <v>88.192441913109462</v>
      </c>
      <c r="O8">
        <v>88.192441913109462</v>
      </c>
      <c r="AC8" s="8"/>
    </row>
    <row r="9" spans="1:29" x14ac:dyDescent="0.3">
      <c r="A9" t="s">
        <v>12</v>
      </c>
      <c r="B9" s="10">
        <v>1006</v>
      </c>
      <c r="C9" s="10">
        <v>1328</v>
      </c>
      <c r="F9" s="2" t="s">
        <v>28</v>
      </c>
      <c r="G9" s="3">
        <v>895.5</v>
      </c>
      <c r="H9" s="3">
        <v>1324.5833333333333</v>
      </c>
      <c r="J9" s="4">
        <f>100*B9/G9</f>
        <v>112.33947515354551</v>
      </c>
      <c r="K9" s="4">
        <f t="shared" si="1"/>
        <v>100.25794274929224</v>
      </c>
      <c r="M9" s="4">
        <f t="shared" si="3"/>
        <v>106.29870895141887</v>
      </c>
      <c r="N9">
        <f t="shared" si="0"/>
        <v>104.53212849686643</v>
      </c>
      <c r="O9">
        <v>104.53212849686643</v>
      </c>
      <c r="AC9" s="8"/>
    </row>
    <row r="10" spans="1:29" x14ac:dyDescent="0.3">
      <c r="A10" t="s">
        <v>13</v>
      </c>
      <c r="B10" s="10">
        <v>1068</v>
      </c>
      <c r="C10" s="10">
        <v>1381</v>
      </c>
      <c r="F10" s="2" t="s">
        <v>29</v>
      </c>
      <c r="G10" s="3">
        <v>942.16666666666674</v>
      </c>
      <c r="H10" s="3">
        <v>1345.4166666666665</v>
      </c>
      <c r="J10" s="4">
        <f t="shared" ref="J10:J14" si="4">100*B10/G10</f>
        <v>113.35574031487705</v>
      </c>
      <c r="K10" s="4">
        <f t="shared" si="1"/>
        <v>102.64478166615052</v>
      </c>
      <c r="M10" s="4">
        <f t="shared" si="3"/>
        <v>108.00026099051379</v>
      </c>
      <c r="N10">
        <f t="shared" si="0"/>
        <v>106.20540240723975</v>
      </c>
      <c r="O10">
        <v>106.20540240723975</v>
      </c>
      <c r="AC10" s="8"/>
    </row>
    <row r="11" spans="1:29" x14ac:dyDescent="0.3">
      <c r="A11" t="s">
        <v>14</v>
      </c>
      <c r="B11" s="10">
        <v>1082</v>
      </c>
      <c r="C11" s="10">
        <v>1357</v>
      </c>
      <c r="F11" s="2" t="s">
        <v>30</v>
      </c>
      <c r="G11" s="3">
        <v>995.75</v>
      </c>
      <c r="H11" s="3">
        <v>1361.4583333333335</v>
      </c>
      <c r="J11" s="4">
        <f t="shared" si="4"/>
        <v>108.66181270399197</v>
      </c>
      <c r="K11" s="4">
        <f t="shared" si="1"/>
        <v>99.672532517214989</v>
      </c>
      <c r="M11" s="4">
        <f t="shared" si="3"/>
        <v>104.16717261060347</v>
      </c>
      <c r="N11">
        <f t="shared" si="0"/>
        <v>102.43601620282448</v>
      </c>
      <c r="O11">
        <v>102.43601620282448</v>
      </c>
      <c r="AC11" s="8"/>
    </row>
    <row r="12" spans="1:29" x14ac:dyDescent="0.3">
      <c r="A12" t="s">
        <v>15</v>
      </c>
      <c r="B12" s="10">
        <v>1097</v>
      </c>
      <c r="C12" s="10">
        <v>1419</v>
      </c>
      <c r="F12" s="2" t="s">
        <v>31</v>
      </c>
      <c r="G12" s="3">
        <v>1046.5</v>
      </c>
      <c r="H12" s="3">
        <v>1373.125</v>
      </c>
      <c r="J12" s="4">
        <f t="shared" si="4"/>
        <v>104.82560917343525</v>
      </c>
      <c r="K12" s="4">
        <f t="shared" si="1"/>
        <v>103.34091943559399</v>
      </c>
      <c r="M12" s="4">
        <f t="shared" si="3"/>
        <v>104.08326430451461</v>
      </c>
      <c r="N12">
        <f t="shared" si="0"/>
        <v>102.3535023706194</v>
      </c>
      <c r="O12">
        <v>102.3535023706194</v>
      </c>
      <c r="AC12" s="8"/>
    </row>
    <row r="13" spans="1:29" x14ac:dyDescent="0.3">
      <c r="A13" t="s">
        <v>16</v>
      </c>
      <c r="B13" s="10">
        <v>1131</v>
      </c>
      <c r="C13" s="10">
        <v>1452</v>
      </c>
      <c r="F13" s="2" t="s">
        <v>32</v>
      </c>
      <c r="G13" s="3">
        <v>1092.4166666666665</v>
      </c>
      <c r="H13" s="3">
        <v>1388.5833333333333</v>
      </c>
      <c r="J13" s="4">
        <f t="shared" si="4"/>
        <v>103.53192463193227</v>
      </c>
      <c r="K13" s="4">
        <f t="shared" si="1"/>
        <v>104.56700474104304</v>
      </c>
      <c r="M13" s="4">
        <f t="shared" si="3"/>
        <v>104.04946468648765</v>
      </c>
      <c r="N13">
        <f t="shared" si="0"/>
        <v>102.32026446914729</v>
      </c>
      <c r="O13">
        <v>102.32026446914729</v>
      </c>
      <c r="AC13" s="8"/>
    </row>
    <row r="14" spans="1:29" x14ac:dyDescent="0.3">
      <c r="A14" t="s">
        <v>6</v>
      </c>
      <c r="B14" s="10">
        <v>1184</v>
      </c>
      <c r="C14" s="10">
        <v>1476</v>
      </c>
      <c r="F14" s="2" t="s">
        <v>33</v>
      </c>
      <c r="G14" s="3">
        <v>1139.0416666666665</v>
      </c>
      <c r="H14" s="3">
        <v>1395.2916666666665</v>
      </c>
      <c r="J14" s="4">
        <f t="shared" si="4"/>
        <v>103.94703149577497</v>
      </c>
      <c r="K14" s="4">
        <f t="shared" si="1"/>
        <v>105.78433421924927</v>
      </c>
      <c r="M14" s="4">
        <f t="shared" si="3"/>
        <v>104.86568285751213</v>
      </c>
      <c r="N14">
        <f t="shared" si="0"/>
        <v>103.1229178934142</v>
      </c>
      <c r="O14">
        <v>103.1229178934142</v>
      </c>
      <c r="AC14" s="8"/>
    </row>
    <row r="15" spans="1:29" x14ac:dyDescent="0.3">
      <c r="A15" s="3"/>
      <c r="B15" s="3"/>
      <c r="C15" s="3"/>
      <c r="F15" s="2" t="s">
        <v>35</v>
      </c>
      <c r="J15" s="5"/>
      <c r="K15" s="5"/>
      <c r="L15">
        <v>1200</v>
      </c>
      <c r="M15" s="5">
        <f>SUM(M3:M14)</f>
        <v>1220.2798563077808</v>
      </c>
      <c r="AC15" s="8"/>
    </row>
    <row r="16" spans="1:29" x14ac:dyDescent="0.3">
      <c r="A16" s="3"/>
      <c r="B16" s="3"/>
      <c r="C16" s="3"/>
      <c r="F16" s="2"/>
      <c r="M16"/>
      <c r="AC16" s="8"/>
    </row>
    <row r="17" spans="1:29" x14ac:dyDescent="0.3">
      <c r="G17" s="3"/>
      <c r="H17" s="3"/>
      <c r="I17" s="3"/>
      <c r="J17" s="3"/>
      <c r="AC17" s="8"/>
    </row>
    <row r="18" spans="1:29" x14ac:dyDescent="0.3">
      <c r="G18" s="3"/>
      <c r="H18" s="3"/>
      <c r="I18" s="3"/>
      <c r="J18" s="3"/>
      <c r="AC18" s="8"/>
    </row>
    <row r="19" spans="1:29" x14ac:dyDescent="0.3">
      <c r="G19" s="3"/>
      <c r="H19" s="3"/>
      <c r="I19" s="3"/>
      <c r="J19" s="3"/>
      <c r="AC19" s="8"/>
    </row>
    <row r="20" spans="1:29" x14ac:dyDescent="0.3">
      <c r="G20" s="3"/>
      <c r="H20" s="3"/>
      <c r="I20" s="3"/>
      <c r="J20" s="3"/>
      <c r="AC20" s="8"/>
    </row>
    <row r="21" spans="1:29" x14ac:dyDescent="0.3">
      <c r="G21" s="3"/>
      <c r="H21" s="3"/>
      <c r="I21" s="3"/>
      <c r="J21" s="3"/>
      <c r="AC21" s="8"/>
    </row>
    <row r="22" spans="1:29" x14ac:dyDescent="0.3">
      <c r="G22" s="3"/>
      <c r="H22" s="3"/>
      <c r="I22" s="3"/>
      <c r="J22" s="3"/>
      <c r="AC22" s="8"/>
    </row>
    <row r="23" spans="1:29" s="2" customFormat="1" x14ac:dyDescent="0.3">
      <c r="A23" s="2" t="s">
        <v>19</v>
      </c>
      <c r="B23" s="2" t="s">
        <v>45</v>
      </c>
      <c r="C23" s="2" t="s">
        <v>18</v>
      </c>
      <c r="D23" s="2" t="s">
        <v>17</v>
      </c>
      <c r="E23" s="2" t="s">
        <v>37</v>
      </c>
      <c r="F23" s="2" t="s">
        <v>38</v>
      </c>
      <c r="G23" s="6" t="s">
        <v>43</v>
      </c>
      <c r="H23" s="6" t="s">
        <v>44</v>
      </c>
      <c r="I23" s="6" t="s">
        <v>36</v>
      </c>
      <c r="J23" s="6" t="s">
        <v>46</v>
      </c>
      <c r="K23" s="2" t="s">
        <v>47</v>
      </c>
      <c r="X23" s="6"/>
      <c r="Y23" s="6"/>
      <c r="Z23" s="6"/>
      <c r="AA23" s="6"/>
      <c r="AB23" s="6"/>
      <c r="AC23" s="9"/>
    </row>
    <row r="24" spans="1:29" x14ac:dyDescent="0.3">
      <c r="A24" t="s">
        <v>20</v>
      </c>
      <c r="B24">
        <v>1</v>
      </c>
      <c r="C24" s="1" t="s">
        <v>23</v>
      </c>
      <c r="D24" s="10">
        <v>569</v>
      </c>
      <c r="G24">
        <v>100.0694572442768</v>
      </c>
      <c r="H24" s="3">
        <f>D24/G24*100</f>
        <v>568.60506259270471</v>
      </c>
      <c r="I24" s="3">
        <f t="shared" ref="I24:I70" si="5">24.285*B24+756.71</f>
        <v>780.995</v>
      </c>
      <c r="J24" s="3">
        <f>I24*G24/100</f>
        <v>781.53745760493973</v>
      </c>
      <c r="K24">
        <f>ABS((D24-J24)/D24)*100</f>
        <v>37.352804499989404</v>
      </c>
      <c r="M24"/>
      <c r="AC24" s="8"/>
    </row>
    <row r="25" spans="1:29" x14ac:dyDescent="0.3">
      <c r="B25">
        <v>2</v>
      </c>
      <c r="C25" s="1" t="s">
        <v>7</v>
      </c>
      <c r="D25" s="10">
        <v>621</v>
      </c>
      <c r="G25">
        <v>94.787101846183702</v>
      </c>
      <c r="H25" s="3">
        <f t="shared" ref="H25:H35" si="6">D25/G25*100</f>
        <v>655.15242886920544</v>
      </c>
      <c r="I25" s="3">
        <f t="shared" si="5"/>
        <v>805.28000000000009</v>
      </c>
      <c r="J25" s="3">
        <f t="shared" ref="J25:J35" si="7">I25*G25/100</f>
        <v>763.30157374694829</v>
      </c>
      <c r="K25">
        <f t="shared" ref="K25:K59" si="8">ABS((D25-J25)/D25)*100</f>
        <v>22.914907205627742</v>
      </c>
      <c r="M25"/>
      <c r="AC25" s="8"/>
    </row>
    <row r="26" spans="1:29" x14ac:dyDescent="0.3">
      <c r="B26">
        <v>3</v>
      </c>
      <c r="C26" s="1" t="s">
        <v>24</v>
      </c>
      <c r="D26" s="10">
        <v>459</v>
      </c>
      <c r="G26">
        <v>97.25746223941195</v>
      </c>
      <c r="H26" s="3">
        <f t="shared" si="6"/>
        <v>471.94322104571427</v>
      </c>
      <c r="I26" s="3">
        <f t="shared" si="5"/>
        <v>829.56500000000005</v>
      </c>
      <c r="J26" s="3">
        <f t="shared" si="7"/>
        <v>806.81386662637783</v>
      </c>
      <c r="K26">
        <f t="shared" si="8"/>
        <v>75.776441530801279</v>
      </c>
      <c r="M26"/>
      <c r="AC26" s="8"/>
    </row>
    <row r="27" spans="1:29" x14ac:dyDescent="0.3">
      <c r="B27">
        <v>4</v>
      </c>
      <c r="C27" s="1" t="s">
        <v>25</v>
      </c>
      <c r="D27" s="10">
        <v>784</v>
      </c>
      <c r="G27">
        <v>95.397286596010289</v>
      </c>
      <c r="H27" s="3">
        <f t="shared" si="6"/>
        <v>821.8263097147551</v>
      </c>
      <c r="I27" s="3">
        <f t="shared" si="5"/>
        <v>853.85</v>
      </c>
      <c r="J27" s="3">
        <f t="shared" si="7"/>
        <v>814.54973160003385</v>
      </c>
      <c r="K27">
        <f t="shared" si="8"/>
        <v>3.8966494387798276</v>
      </c>
      <c r="M27"/>
      <c r="AC27" s="8"/>
    </row>
    <row r="28" spans="1:29" x14ac:dyDescent="0.3">
      <c r="B28">
        <v>5</v>
      </c>
      <c r="C28" s="1" t="s">
        <v>26</v>
      </c>
      <c r="D28" s="10">
        <v>649</v>
      </c>
      <c r="G28">
        <v>103.32601832089622</v>
      </c>
      <c r="H28" s="3">
        <f t="shared" si="6"/>
        <v>628.10898024195808</v>
      </c>
      <c r="I28" s="3">
        <f t="shared" si="5"/>
        <v>878.13499999999999</v>
      </c>
      <c r="J28" s="3">
        <f t="shared" si="7"/>
        <v>907.34193098220203</v>
      </c>
      <c r="K28">
        <f t="shared" si="8"/>
        <v>39.80615269371372</v>
      </c>
      <c r="M28"/>
      <c r="AC28" s="8"/>
    </row>
    <row r="29" spans="1:29" x14ac:dyDescent="0.3">
      <c r="B29">
        <v>6</v>
      </c>
      <c r="C29" s="1" t="s">
        <v>27</v>
      </c>
      <c r="D29" s="10">
        <v>799</v>
      </c>
      <c r="E29" s="3">
        <f>AVERAGE(D24:D35)</f>
        <v>870.75</v>
      </c>
      <c r="G29">
        <v>88.192441913109462</v>
      </c>
      <c r="H29" s="3">
        <f t="shared" si="6"/>
        <v>905.97332681547141</v>
      </c>
      <c r="I29" s="3">
        <f t="shared" si="5"/>
        <v>902.42000000000007</v>
      </c>
      <c r="J29" s="3">
        <f t="shared" si="7"/>
        <v>795.86623431228247</v>
      </c>
      <c r="K29">
        <f t="shared" si="8"/>
        <v>0.39221097468304472</v>
      </c>
      <c r="M29"/>
      <c r="AC29" s="8"/>
    </row>
    <row r="30" spans="1:29" x14ac:dyDescent="0.3">
      <c r="B30">
        <v>7</v>
      </c>
      <c r="C30" s="1" t="s">
        <v>28</v>
      </c>
      <c r="D30" s="10">
        <v>1006</v>
      </c>
      <c r="E30" s="3">
        <f t="shared" ref="E30:E53" si="9">AVERAGE(D25:D36)</f>
        <v>920.25</v>
      </c>
      <c r="F30" s="3">
        <f>AVERAGE(E29:E30)</f>
        <v>895.5</v>
      </c>
      <c r="G30">
        <v>104.53212849686643</v>
      </c>
      <c r="H30" s="3">
        <f t="shared" si="6"/>
        <v>962.38354127664877</v>
      </c>
      <c r="I30" s="3">
        <f t="shared" si="5"/>
        <v>926.70500000000004</v>
      </c>
      <c r="J30" s="3">
        <f t="shared" si="7"/>
        <v>968.70446138688612</v>
      </c>
      <c r="K30">
        <f t="shared" si="8"/>
        <v>3.7073100013035662</v>
      </c>
      <c r="M30"/>
      <c r="AC30" s="8"/>
    </row>
    <row r="31" spans="1:29" x14ac:dyDescent="0.3">
      <c r="B31">
        <v>8</v>
      </c>
      <c r="C31" s="1" t="s">
        <v>29</v>
      </c>
      <c r="D31" s="10">
        <v>1068</v>
      </c>
      <c r="E31" s="3">
        <f t="shared" si="9"/>
        <v>964.08333333333337</v>
      </c>
      <c r="F31" s="3">
        <f t="shared" ref="F31:F53" si="10">AVERAGE(E30:E31)</f>
        <v>942.16666666666674</v>
      </c>
      <c r="G31">
        <v>106.20540240723975</v>
      </c>
      <c r="H31" s="3">
        <f t="shared" si="6"/>
        <v>1005.5985625898794</v>
      </c>
      <c r="I31" s="3">
        <f t="shared" si="5"/>
        <v>950.99</v>
      </c>
      <c r="J31" s="3">
        <f t="shared" si="7"/>
        <v>1010.0027563526093</v>
      </c>
      <c r="K31">
        <f t="shared" si="8"/>
        <v>5.4304535250365866</v>
      </c>
      <c r="M31"/>
      <c r="AC31" s="8"/>
    </row>
    <row r="32" spans="1:29" x14ac:dyDescent="0.3">
      <c r="B32">
        <v>9</v>
      </c>
      <c r="C32" s="1" t="s">
        <v>30</v>
      </c>
      <c r="D32" s="10">
        <v>1082</v>
      </c>
      <c r="E32" s="3">
        <f t="shared" si="9"/>
        <v>1027.4166666666667</v>
      </c>
      <c r="F32" s="3">
        <f t="shared" si="10"/>
        <v>995.75</v>
      </c>
      <c r="G32">
        <v>102.43601620282448</v>
      </c>
      <c r="H32" s="3">
        <f t="shared" si="6"/>
        <v>1056.2691132556618</v>
      </c>
      <c r="I32" s="3">
        <f t="shared" si="5"/>
        <v>975.27500000000009</v>
      </c>
      <c r="J32" s="3">
        <f t="shared" si="7"/>
        <v>999.03285702209644</v>
      </c>
      <c r="K32">
        <f t="shared" si="8"/>
        <v>7.6679429739282403</v>
      </c>
      <c r="M32"/>
      <c r="AC32" s="8"/>
    </row>
    <row r="33" spans="1:29" x14ac:dyDescent="0.3">
      <c r="B33">
        <v>10</v>
      </c>
      <c r="C33" s="1" t="s">
        <v>31</v>
      </c>
      <c r="D33" s="10">
        <v>1097</v>
      </c>
      <c r="E33" s="3">
        <f t="shared" si="9"/>
        <v>1065.5833333333333</v>
      </c>
      <c r="F33" s="3">
        <f t="shared" si="10"/>
        <v>1046.5</v>
      </c>
      <c r="G33">
        <v>102.3535023706194</v>
      </c>
      <c r="H33" s="3">
        <f t="shared" si="6"/>
        <v>1071.7757327226491</v>
      </c>
      <c r="I33" s="3">
        <f t="shared" si="5"/>
        <v>999.56000000000006</v>
      </c>
      <c r="J33" s="3">
        <f t="shared" si="7"/>
        <v>1023.0846682957632</v>
      </c>
      <c r="K33">
        <f t="shared" si="8"/>
        <v>6.7379518417718138</v>
      </c>
      <c r="M33"/>
      <c r="AC33" s="8"/>
    </row>
    <row r="34" spans="1:29" x14ac:dyDescent="0.3">
      <c r="B34">
        <v>11</v>
      </c>
      <c r="C34" s="1" t="s">
        <v>32</v>
      </c>
      <c r="D34" s="10">
        <v>1131</v>
      </c>
      <c r="E34" s="3">
        <f t="shared" si="9"/>
        <v>1119.25</v>
      </c>
      <c r="F34" s="3">
        <f t="shared" si="10"/>
        <v>1092.4166666666665</v>
      </c>
      <c r="G34">
        <v>102.32026446914729</v>
      </c>
      <c r="H34" s="3">
        <f t="shared" si="6"/>
        <v>1105.3528896429225</v>
      </c>
      <c r="I34" s="3">
        <f t="shared" si="5"/>
        <v>1023.845</v>
      </c>
      <c r="J34" s="3">
        <f t="shared" si="7"/>
        <v>1047.6009117541412</v>
      </c>
      <c r="K34">
        <f t="shared" si="8"/>
        <v>7.373924690173193</v>
      </c>
      <c r="M34"/>
      <c r="AC34" s="8"/>
    </row>
    <row r="35" spans="1:29" x14ac:dyDescent="0.3">
      <c r="B35">
        <v>12</v>
      </c>
      <c r="C35" s="1" t="s">
        <v>33</v>
      </c>
      <c r="D35" s="10">
        <v>1184</v>
      </c>
      <c r="E35" s="3">
        <f t="shared" si="9"/>
        <v>1158.8333333333333</v>
      </c>
      <c r="F35" s="3">
        <f t="shared" si="10"/>
        <v>1139.0416666666665</v>
      </c>
      <c r="G35">
        <v>103.1229178934142</v>
      </c>
      <c r="H35" s="3">
        <f t="shared" si="6"/>
        <v>1148.1443932994205</v>
      </c>
      <c r="I35" s="3">
        <f t="shared" si="5"/>
        <v>1048.1300000000001</v>
      </c>
      <c r="J35" s="3">
        <f t="shared" si="7"/>
        <v>1080.8622393162423</v>
      </c>
      <c r="K35">
        <f t="shared" si="8"/>
        <v>8.7109595172092682</v>
      </c>
      <c r="M35"/>
      <c r="AC35" s="8"/>
    </row>
    <row r="36" spans="1:29" x14ac:dyDescent="0.3">
      <c r="A36" t="s">
        <v>21</v>
      </c>
      <c r="B36">
        <v>13</v>
      </c>
      <c r="C36" s="1" t="s">
        <v>23</v>
      </c>
      <c r="D36" s="10">
        <v>1163</v>
      </c>
      <c r="E36" s="3">
        <f t="shared" si="9"/>
        <v>1185.6666666666667</v>
      </c>
      <c r="F36" s="3">
        <f t="shared" si="10"/>
        <v>1172.25</v>
      </c>
      <c r="G36">
        <v>100.0694572442768</v>
      </c>
      <c r="H36" s="3">
        <f t="shared" ref="H36:H59" si="11">D36/G36*100</f>
        <v>1162.1927729267409</v>
      </c>
      <c r="I36" s="3">
        <f t="shared" si="5"/>
        <v>1072.415</v>
      </c>
      <c r="J36" s="3">
        <f t="shared" ref="J36:J71" si="12">I36*G36/100</f>
        <v>1073.159869906211</v>
      </c>
      <c r="K36">
        <f t="shared" si="8"/>
        <v>7.7248607131374856</v>
      </c>
      <c r="M36"/>
      <c r="AC36" s="8"/>
    </row>
    <row r="37" spans="1:29" x14ac:dyDescent="0.3">
      <c r="B37">
        <v>14</v>
      </c>
      <c r="C37" s="1" t="s">
        <v>7</v>
      </c>
      <c r="D37" s="10">
        <v>1147</v>
      </c>
      <c r="E37" s="3">
        <f t="shared" si="9"/>
        <v>1211.75</v>
      </c>
      <c r="F37" s="3">
        <f t="shared" si="10"/>
        <v>1198.7083333333335</v>
      </c>
      <c r="G37">
        <v>94.787101846183702</v>
      </c>
      <c r="H37" s="3">
        <f t="shared" si="11"/>
        <v>1210.0802510675985</v>
      </c>
      <c r="I37" s="3">
        <f t="shared" si="5"/>
        <v>1096.7</v>
      </c>
      <c r="J37" s="3">
        <f t="shared" si="12"/>
        <v>1039.5301459470968</v>
      </c>
      <c r="K37">
        <f t="shared" si="8"/>
        <v>9.3696472583176291</v>
      </c>
      <c r="M37"/>
      <c r="AC37" s="8"/>
    </row>
    <row r="38" spans="1:29" x14ac:dyDescent="0.3">
      <c r="B38">
        <v>15</v>
      </c>
      <c r="C38" s="1" t="s">
        <v>24</v>
      </c>
      <c r="D38" s="10">
        <v>1219</v>
      </c>
      <c r="E38" s="3">
        <f t="shared" si="9"/>
        <v>1234.6666666666667</v>
      </c>
      <c r="F38" s="3">
        <f t="shared" si="10"/>
        <v>1223.2083333333335</v>
      </c>
      <c r="G38">
        <v>97.25746223941195</v>
      </c>
      <c r="H38" s="3">
        <f t="shared" si="11"/>
        <v>1253.3742624285962</v>
      </c>
      <c r="I38" s="3">
        <f t="shared" si="5"/>
        <v>1120.9850000000001</v>
      </c>
      <c r="J38" s="3">
        <f t="shared" si="12"/>
        <v>1090.2415630844721</v>
      </c>
      <c r="K38">
        <f t="shared" si="8"/>
        <v>10.562628130888262</v>
      </c>
      <c r="M38"/>
      <c r="AC38" s="8"/>
    </row>
    <row r="39" spans="1:29" x14ac:dyDescent="0.3">
      <c r="B39">
        <v>16</v>
      </c>
      <c r="C39" s="1" t="s">
        <v>25</v>
      </c>
      <c r="D39" s="10">
        <v>1242</v>
      </c>
      <c r="E39" s="3">
        <f t="shared" si="9"/>
        <v>1261.5</v>
      </c>
      <c r="F39" s="3">
        <f t="shared" si="10"/>
        <v>1248.0833333333335</v>
      </c>
      <c r="G39">
        <v>95.397286596010289</v>
      </c>
      <c r="H39" s="3">
        <f t="shared" si="11"/>
        <v>1301.9238222777115</v>
      </c>
      <c r="I39" s="3">
        <f t="shared" si="5"/>
        <v>1145.27</v>
      </c>
      <c r="J39" s="3">
        <f t="shared" si="12"/>
        <v>1092.5565041981272</v>
      </c>
      <c r="K39">
        <f t="shared" si="8"/>
        <v>12.032487584691854</v>
      </c>
      <c r="M39"/>
      <c r="AC39" s="8"/>
    </row>
    <row r="40" spans="1:29" x14ac:dyDescent="0.3">
      <c r="B40">
        <v>17</v>
      </c>
      <c r="C40" s="1" t="s">
        <v>26</v>
      </c>
      <c r="D40" s="10">
        <v>1293</v>
      </c>
      <c r="E40" s="3">
        <f t="shared" si="9"/>
        <v>1288.25</v>
      </c>
      <c r="F40" s="3">
        <f t="shared" si="10"/>
        <v>1274.875</v>
      </c>
      <c r="G40">
        <v>103.32601832089622</v>
      </c>
      <c r="H40" s="3">
        <f t="shared" si="11"/>
        <v>1251.3789082478456</v>
      </c>
      <c r="I40" s="3">
        <f t="shared" si="5"/>
        <v>1169.5550000000001</v>
      </c>
      <c r="J40" s="3">
        <f t="shared" si="12"/>
        <v>1208.4546135729579</v>
      </c>
      <c r="K40">
        <f t="shared" si="8"/>
        <v>6.5386996463296292</v>
      </c>
      <c r="M40"/>
      <c r="AC40" s="8"/>
    </row>
    <row r="41" spans="1:29" x14ac:dyDescent="0.3">
      <c r="B41">
        <v>18</v>
      </c>
      <c r="C41" s="1" t="s">
        <v>27</v>
      </c>
      <c r="D41" s="10">
        <v>1274</v>
      </c>
      <c r="E41" s="3">
        <f t="shared" si="9"/>
        <v>1312.5833333333333</v>
      </c>
      <c r="F41" s="3">
        <f t="shared" si="10"/>
        <v>1300.4166666666665</v>
      </c>
      <c r="G41">
        <v>88.192441913109462</v>
      </c>
      <c r="H41" s="3">
        <f t="shared" si="11"/>
        <v>1444.5682332451947</v>
      </c>
      <c r="I41" s="3">
        <f t="shared" si="5"/>
        <v>1193.8400000000001</v>
      </c>
      <c r="J41" s="3">
        <f t="shared" si="12"/>
        <v>1052.8766485354661</v>
      </c>
      <c r="K41">
        <f t="shared" si="8"/>
        <v>17.356620994076447</v>
      </c>
      <c r="M41"/>
      <c r="AC41" s="8"/>
    </row>
    <row r="42" spans="1:29" x14ac:dyDescent="0.3">
      <c r="B42">
        <v>19</v>
      </c>
      <c r="C42" s="1" t="s">
        <v>28</v>
      </c>
      <c r="D42" s="10">
        <v>1328</v>
      </c>
      <c r="E42" s="3">
        <f t="shared" si="9"/>
        <v>1336.5833333333333</v>
      </c>
      <c r="F42" s="3">
        <f t="shared" si="10"/>
        <v>1324.5833333333333</v>
      </c>
      <c r="G42">
        <v>104.53212849686643</v>
      </c>
      <c r="H42" s="3">
        <f t="shared" si="11"/>
        <v>1270.4228059795123</v>
      </c>
      <c r="I42" s="3">
        <f t="shared" si="5"/>
        <v>1218.125</v>
      </c>
      <c r="J42" s="3">
        <f t="shared" si="12"/>
        <v>1273.3319902524543</v>
      </c>
      <c r="K42">
        <f t="shared" si="8"/>
        <v>4.1165669990621785</v>
      </c>
      <c r="M42"/>
      <c r="AC42" s="8"/>
    </row>
    <row r="43" spans="1:29" x14ac:dyDescent="0.3">
      <c r="B43">
        <v>20</v>
      </c>
      <c r="C43" s="1" t="s">
        <v>29</v>
      </c>
      <c r="D43" s="10">
        <v>1381</v>
      </c>
      <c r="E43" s="3">
        <f t="shared" si="9"/>
        <v>1354.25</v>
      </c>
      <c r="F43" s="3">
        <f t="shared" si="10"/>
        <v>1345.4166666666665</v>
      </c>
      <c r="G43">
        <v>106.20540240723975</v>
      </c>
      <c r="H43" s="3">
        <f t="shared" si="11"/>
        <v>1300.3105008769883</v>
      </c>
      <c r="I43" s="3">
        <f t="shared" si="5"/>
        <v>1242.4100000000001</v>
      </c>
      <c r="J43" s="3">
        <f t="shared" si="12"/>
        <v>1319.5065400477874</v>
      </c>
      <c r="K43">
        <f t="shared" si="8"/>
        <v>4.4528211406381288</v>
      </c>
      <c r="M43"/>
      <c r="AC43" s="8"/>
    </row>
    <row r="44" spans="1:29" x14ac:dyDescent="0.3">
      <c r="B44">
        <v>21</v>
      </c>
      <c r="C44" s="1" t="s">
        <v>30</v>
      </c>
      <c r="D44" s="10">
        <v>1357</v>
      </c>
      <c r="E44" s="3">
        <f t="shared" si="9"/>
        <v>1368.6666666666667</v>
      </c>
      <c r="F44" s="3">
        <f t="shared" si="10"/>
        <v>1361.4583333333335</v>
      </c>
      <c r="G44">
        <v>102.43601620282448</v>
      </c>
      <c r="H44" s="3">
        <f t="shared" si="11"/>
        <v>1324.72937771528</v>
      </c>
      <c r="I44" s="3">
        <f t="shared" si="5"/>
        <v>1266.6950000000002</v>
      </c>
      <c r="J44" s="3">
        <f t="shared" si="12"/>
        <v>1297.5518954403676</v>
      </c>
      <c r="K44">
        <f t="shared" si="8"/>
        <v>4.3808477936354002</v>
      </c>
      <c r="M44"/>
      <c r="AC44" s="8"/>
    </row>
    <row r="45" spans="1:29" x14ac:dyDescent="0.3">
      <c r="B45">
        <v>22</v>
      </c>
      <c r="C45" s="1" t="s">
        <v>31</v>
      </c>
      <c r="D45" s="10">
        <v>1419</v>
      </c>
      <c r="E45" s="3">
        <f t="shared" si="9"/>
        <v>1377.5833333333333</v>
      </c>
      <c r="F45" s="3">
        <f t="shared" si="10"/>
        <v>1373.125</v>
      </c>
      <c r="G45">
        <v>102.3535023706194</v>
      </c>
      <c r="H45" s="3">
        <f t="shared" si="11"/>
        <v>1386.3717089639372</v>
      </c>
      <c r="I45" s="3">
        <f t="shared" si="5"/>
        <v>1290.98</v>
      </c>
      <c r="J45" s="3">
        <f t="shared" si="12"/>
        <v>1321.3632449042225</v>
      </c>
      <c r="K45">
        <f t="shared" si="8"/>
        <v>6.8806733682718475</v>
      </c>
      <c r="M45"/>
      <c r="AC45" s="8"/>
    </row>
    <row r="46" spans="1:29" x14ac:dyDescent="0.3">
      <c r="B46">
        <v>23</v>
      </c>
      <c r="C46" s="1" t="s">
        <v>32</v>
      </c>
      <c r="D46" s="10">
        <v>1452</v>
      </c>
      <c r="E46" s="3">
        <f t="shared" si="9"/>
        <v>1399.5833333333333</v>
      </c>
      <c r="F46" s="3">
        <f t="shared" si="10"/>
        <v>1388.5833333333333</v>
      </c>
      <c r="G46">
        <v>102.32026446914729</v>
      </c>
      <c r="H46" s="3">
        <f t="shared" si="11"/>
        <v>1419.0737363055025</v>
      </c>
      <c r="I46" s="3">
        <f t="shared" si="5"/>
        <v>1315.2649999999999</v>
      </c>
      <c r="J46" s="3">
        <f t="shared" si="12"/>
        <v>1345.78262647013</v>
      </c>
      <c r="K46">
        <f t="shared" si="8"/>
        <v>7.3152461108725877</v>
      </c>
      <c r="M46"/>
      <c r="AC46" s="8"/>
    </row>
    <row r="47" spans="1:29" x14ac:dyDescent="0.3">
      <c r="B47">
        <v>24</v>
      </c>
      <c r="C47" s="1" t="s">
        <v>33</v>
      </c>
      <c r="D47" s="10">
        <v>1476</v>
      </c>
      <c r="E47" s="3">
        <f t="shared" si="9"/>
        <v>1391</v>
      </c>
      <c r="F47" s="3">
        <f t="shared" si="10"/>
        <v>1395.2916666666665</v>
      </c>
      <c r="G47">
        <v>103.1229178934142</v>
      </c>
      <c r="H47" s="3">
        <f t="shared" si="11"/>
        <v>1431.3016254306965</v>
      </c>
      <c r="I47" s="3">
        <f t="shared" si="5"/>
        <v>1339.5500000000002</v>
      </c>
      <c r="J47" s="3">
        <f t="shared" si="12"/>
        <v>1381.3830466412301</v>
      </c>
      <c r="K47">
        <f t="shared" si="8"/>
        <v>6.4103626936835996</v>
      </c>
      <c r="M47"/>
      <c r="AC47" s="8"/>
    </row>
    <row r="48" spans="1:29" x14ac:dyDescent="0.3">
      <c r="A48" t="s">
        <v>22</v>
      </c>
      <c r="B48">
        <v>25</v>
      </c>
      <c r="C48" s="1" t="s">
        <v>23</v>
      </c>
      <c r="D48" s="10">
        <v>1451</v>
      </c>
      <c r="E48" s="3">
        <f t="shared" si="9"/>
        <v>1391.0833333333333</v>
      </c>
      <c r="F48" s="3">
        <f t="shared" si="10"/>
        <v>1391.0416666666665</v>
      </c>
      <c r="G48">
        <v>100.0694572442768</v>
      </c>
      <c r="H48" s="3">
        <f t="shared" si="11"/>
        <v>1449.9928749068797</v>
      </c>
      <c r="I48" s="3">
        <f t="shared" si="5"/>
        <v>1363.835</v>
      </c>
      <c r="J48" s="3">
        <f t="shared" si="12"/>
        <v>1364.7822822074825</v>
      </c>
      <c r="K48">
        <f t="shared" si="8"/>
        <v>5.9419516052734345</v>
      </c>
      <c r="M48"/>
      <c r="AC48" s="8"/>
    </row>
    <row r="49" spans="1:29" x14ac:dyDescent="0.3">
      <c r="B49">
        <v>26</v>
      </c>
      <c r="C49" s="1" t="s">
        <v>7</v>
      </c>
      <c r="D49" s="10">
        <v>1359</v>
      </c>
      <c r="E49" s="3">
        <f t="shared" si="9"/>
        <v>1408.3333333333333</v>
      </c>
      <c r="F49" s="3">
        <f t="shared" si="10"/>
        <v>1399.7083333333333</v>
      </c>
      <c r="G49">
        <v>94.787101846183702</v>
      </c>
      <c r="H49" s="3">
        <f t="shared" si="11"/>
        <v>1433.739373322464</v>
      </c>
      <c r="I49" s="3">
        <f t="shared" si="5"/>
        <v>1388.12</v>
      </c>
      <c r="J49" s="3">
        <f t="shared" si="12"/>
        <v>1315.7587181472452</v>
      </c>
      <c r="K49">
        <f t="shared" si="8"/>
        <v>3.1818456109459019</v>
      </c>
      <c r="M49"/>
      <c r="AC49" s="8"/>
    </row>
    <row r="50" spans="1:29" x14ac:dyDescent="0.3">
      <c r="B50">
        <v>27</v>
      </c>
      <c r="C50" s="1" t="s">
        <v>24</v>
      </c>
      <c r="D50" s="10">
        <v>1392</v>
      </c>
      <c r="E50" s="3">
        <f t="shared" si="9"/>
        <v>1428.25</v>
      </c>
      <c r="F50" s="3">
        <f t="shared" si="10"/>
        <v>1418.2916666666665</v>
      </c>
      <c r="G50">
        <v>97.25746223941195</v>
      </c>
      <c r="H50" s="3">
        <f t="shared" si="11"/>
        <v>1431.2526442170681</v>
      </c>
      <c r="I50" s="3">
        <f t="shared" si="5"/>
        <v>1412.4050000000002</v>
      </c>
      <c r="J50" s="3">
        <f t="shared" si="12"/>
        <v>1373.6692595425664</v>
      </c>
      <c r="K50">
        <f t="shared" si="8"/>
        <v>1.3168635386087391</v>
      </c>
      <c r="M50"/>
      <c r="AC50" s="8"/>
    </row>
    <row r="51" spans="1:29" x14ac:dyDescent="0.3">
      <c r="B51">
        <v>28</v>
      </c>
      <c r="C51" s="1" t="s">
        <v>25</v>
      </c>
      <c r="D51" s="10">
        <v>1349</v>
      </c>
      <c r="E51" s="3">
        <f t="shared" si="9"/>
        <v>1426.5833333333333</v>
      </c>
      <c r="F51" s="3">
        <f t="shared" si="10"/>
        <v>1427.4166666666665</v>
      </c>
      <c r="G51">
        <v>95.397286596010289</v>
      </c>
      <c r="H51" s="3">
        <f t="shared" si="11"/>
        <v>1414.0863415882711</v>
      </c>
      <c r="I51" s="3">
        <f t="shared" si="5"/>
        <v>1436.69</v>
      </c>
      <c r="J51" s="3">
        <f t="shared" si="12"/>
        <v>1370.5632767962202</v>
      </c>
      <c r="K51">
        <f t="shared" si="8"/>
        <v>1.5984638099496056</v>
      </c>
      <c r="M51"/>
      <c r="AB51" s="6"/>
    </row>
    <row r="52" spans="1:29" x14ac:dyDescent="0.3">
      <c r="B52">
        <v>29</v>
      </c>
      <c r="C52" s="1" t="s">
        <v>26</v>
      </c>
      <c r="D52" s="10">
        <v>1557</v>
      </c>
      <c r="E52" s="3">
        <f t="shared" si="9"/>
        <v>1437.5833333333333</v>
      </c>
      <c r="F52" s="3">
        <f t="shared" si="10"/>
        <v>1432.0833333333333</v>
      </c>
      <c r="G52">
        <v>103.32601832089622</v>
      </c>
      <c r="H52" s="3">
        <f t="shared" si="11"/>
        <v>1506.8808663123707</v>
      </c>
      <c r="I52" s="3">
        <f t="shared" si="5"/>
        <v>1460.9749999999999</v>
      </c>
      <c r="J52" s="3">
        <f t="shared" si="12"/>
        <v>1509.5672961637135</v>
      </c>
      <c r="K52">
        <f t="shared" si="8"/>
        <v>3.0464164313607234</v>
      </c>
      <c r="M52"/>
    </row>
    <row r="53" spans="1:29" x14ac:dyDescent="0.3">
      <c r="B53">
        <v>30</v>
      </c>
      <c r="C53" s="1" t="s">
        <v>27</v>
      </c>
      <c r="D53" s="10">
        <v>1171</v>
      </c>
      <c r="E53" s="3">
        <f t="shared" si="9"/>
        <v>1439.6666666666667</v>
      </c>
      <c r="F53" s="3">
        <f t="shared" si="10"/>
        <v>1438.625</v>
      </c>
      <c r="G53">
        <v>88.192441913109462</v>
      </c>
      <c r="H53" s="3">
        <f t="shared" si="11"/>
        <v>1327.77817985096</v>
      </c>
      <c r="I53" s="3">
        <f t="shared" si="5"/>
        <v>1485.26</v>
      </c>
      <c r="J53" s="3">
        <f t="shared" si="12"/>
        <v>1309.8870627586496</v>
      </c>
      <c r="K53">
        <f t="shared" si="8"/>
        <v>11.860551900824044</v>
      </c>
      <c r="M53"/>
    </row>
    <row r="54" spans="1:29" x14ac:dyDescent="0.3">
      <c r="B54">
        <v>31</v>
      </c>
      <c r="C54" s="1" t="s">
        <v>28</v>
      </c>
      <c r="D54" s="10">
        <v>1329</v>
      </c>
      <c r="F54" s="3"/>
      <c r="G54">
        <v>104.53212849686643</v>
      </c>
      <c r="H54" s="3">
        <f t="shared" si="11"/>
        <v>1271.3794496587138</v>
      </c>
      <c r="I54" s="3">
        <f t="shared" si="5"/>
        <v>1509.5450000000001</v>
      </c>
      <c r="J54" s="3">
        <f t="shared" si="12"/>
        <v>1577.9595191180226</v>
      </c>
      <c r="K54">
        <f t="shared" si="8"/>
        <v>18.732845682319237</v>
      </c>
      <c r="M54"/>
    </row>
    <row r="55" spans="1:29" x14ac:dyDescent="0.3">
      <c r="B55">
        <v>32</v>
      </c>
      <c r="C55" s="1" t="s">
        <v>29</v>
      </c>
      <c r="D55" s="10">
        <v>1588</v>
      </c>
      <c r="G55">
        <v>106.20540240723975</v>
      </c>
      <c r="H55" s="3">
        <f t="shared" si="11"/>
        <v>1495.2158402553637</v>
      </c>
      <c r="I55" s="3">
        <f t="shared" si="5"/>
        <v>1533.83</v>
      </c>
      <c r="J55" s="3">
        <f t="shared" si="12"/>
        <v>1629.0103237429655</v>
      </c>
      <c r="K55">
        <f t="shared" si="8"/>
        <v>2.5825140896073999</v>
      </c>
      <c r="M55"/>
    </row>
    <row r="56" spans="1:29" x14ac:dyDescent="0.3">
      <c r="B56">
        <v>33</v>
      </c>
      <c r="C56" s="1" t="s">
        <v>30</v>
      </c>
      <c r="D56" s="10">
        <v>1596</v>
      </c>
      <c r="G56">
        <v>102.43601620282448</v>
      </c>
      <c r="H56" s="3">
        <f t="shared" si="11"/>
        <v>1558.0457530092754</v>
      </c>
      <c r="I56" s="3">
        <f t="shared" si="5"/>
        <v>1558.115</v>
      </c>
      <c r="J56" s="3">
        <f t="shared" si="12"/>
        <v>1596.0709338586385</v>
      </c>
      <c r="K56">
        <f t="shared" si="8"/>
        <v>4.444477358299166E-3</v>
      </c>
      <c r="M56"/>
    </row>
    <row r="57" spans="1:29" x14ac:dyDescent="0.3">
      <c r="B57">
        <v>34</v>
      </c>
      <c r="C57" s="1" t="s">
        <v>31</v>
      </c>
      <c r="D57" s="10">
        <v>1399</v>
      </c>
      <c r="G57">
        <v>102.3535023706194</v>
      </c>
      <c r="H57" s="3">
        <f t="shared" si="11"/>
        <v>1366.8315862160312</v>
      </c>
      <c r="I57" s="3">
        <f t="shared" si="5"/>
        <v>1582.4</v>
      </c>
      <c r="J57" s="3">
        <f t="shared" si="12"/>
        <v>1619.6418215126814</v>
      </c>
      <c r="K57">
        <f t="shared" si="8"/>
        <v>15.771395390470438</v>
      </c>
      <c r="M57"/>
    </row>
    <row r="58" spans="1:29" x14ac:dyDescent="0.3">
      <c r="B58">
        <v>35</v>
      </c>
      <c r="C58" s="1" t="s">
        <v>32</v>
      </c>
      <c r="D58" s="10">
        <v>1584</v>
      </c>
      <c r="G58">
        <v>102.32026446914729</v>
      </c>
      <c r="H58" s="3">
        <f t="shared" si="11"/>
        <v>1548.0804396060028</v>
      </c>
      <c r="I58" s="3">
        <f t="shared" si="5"/>
        <v>1606.6849999999999</v>
      </c>
      <c r="J58" s="3">
        <f t="shared" si="12"/>
        <v>1643.9643411861191</v>
      </c>
      <c r="K58">
        <f t="shared" si="8"/>
        <v>3.7856276001337812</v>
      </c>
      <c r="M58"/>
    </row>
    <row r="59" spans="1:29" x14ac:dyDescent="0.3">
      <c r="B59">
        <v>36</v>
      </c>
      <c r="C59" s="1" t="s">
        <v>33</v>
      </c>
      <c r="D59" s="10">
        <v>1501</v>
      </c>
      <c r="G59">
        <v>103.1229178934142</v>
      </c>
      <c r="H59" s="3">
        <f t="shared" si="11"/>
        <v>1455.544539140566</v>
      </c>
      <c r="I59" s="3">
        <f t="shared" si="5"/>
        <v>1630.97</v>
      </c>
      <c r="J59" s="3">
        <f t="shared" si="12"/>
        <v>1681.9038539662174</v>
      </c>
      <c r="K59">
        <f t="shared" si="8"/>
        <v>12.052222116336935</v>
      </c>
      <c r="M59"/>
    </row>
    <row r="60" spans="1:29" x14ac:dyDescent="0.3">
      <c r="A60" t="s">
        <v>39</v>
      </c>
      <c r="B60">
        <v>37</v>
      </c>
      <c r="C60" s="1" t="s">
        <v>23</v>
      </c>
      <c r="G60">
        <v>100.0694572442768</v>
      </c>
      <c r="I60" s="3">
        <f t="shared" si="5"/>
        <v>1655.2550000000001</v>
      </c>
      <c r="J60" s="3">
        <f t="shared" si="12"/>
        <v>1656.4046945087541</v>
      </c>
    </row>
    <row r="61" spans="1:29" x14ac:dyDescent="0.3">
      <c r="B61">
        <v>38</v>
      </c>
      <c r="C61" s="1" t="s">
        <v>7</v>
      </c>
      <c r="G61">
        <v>94.787101846183702</v>
      </c>
      <c r="I61" s="3">
        <f t="shared" si="5"/>
        <v>1679.54</v>
      </c>
      <c r="J61" s="3">
        <f t="shared" si="12"/>
        <v>1591.9872903473938</v>
      </c>
    </row>
    <row r="62" spans="1:29" x14ac:dyDescent="0.3">
      <c r="B62">
        <v>39</v>
      </c>
      <c r="C62" s="1" t="s">
        <v>24</v>
      </c>
      <c r="G62">
        <v>97.25746223941195</v>
      </c>
      <c r="I62" s="3">
        <f t="shared" si="5"/>
        <v>1703.825</v>
      </c>
      <c r="J62" s="3">
        <f t="shared" si="12"/>
        <v>1657.0969560006606</v>
      </c>
    </row>
    <row r="63" spans="1:29" x14ac:dyDescent="0.3">
      <c r="B63">
        <v>40</v>
      </c>
      <c r="C63" s="1" t="s">
        <v>25</v>
      </c>
      <c r="G63">
        <v>95.397286596010289</v>
      </c>
      <c r="I63" s="3">
        <f t="shared" si="5"/>
        <v>1728.1100000000001</v>
      </c>
      <c r="J63" s="3">
        <f t="shared" si="12"/>
        <v>1648.5700493943136</v>
      </c>
    </row>
    <row r="64" spans="1:29" x14ac:dyDescent="0.3">
      <c r="B64">
        <v>41</v>
      </c>
      <c r="C64" s="1" t="s">
        <v>26</v>
      </c>
      <c r="G64">
        <v>103.32601832089622</v>
      </c>
      <c r="I64" s="3">
        <f t="shared" si="5"/>
        <v>1752.395</v>
      </c>
      <c r="J64" s="3">
        <f t="shared" si="12"/>
        <v>1810.6799787544694</v>
      </c>
    </row>
    <row r="65" spans="2:11" x14ac:dyDescent="0.3">
      <c r="B65">
        <v>42</v>
      </c>
      <c r="C65" s="1" t="s">
        <v>27</v>
      </c>
      <c r="G65">
        <v>88.192441913109462</v>
      </c>
      <c r="I65" s="3">
        <f t="shared" si="5"/>
        <v>1776.68</v>
      </c>
      <c r="J65" s="3">
        <f t="shared" si="12"/>
        <v>1566.8974769818333</v>
      </c>
    </row>
    <row r="66" spans="2:11" x14ac:dyDescent="0.3">
      <c r="B66">
        <v>43</v>
      </c>
      <c r="C66" s="1" t="s">
        <v>28</v>
      </c>
      <c r="G66">
        <v>104.53212849686643</v>
      </c>
      <c r="I66" s="3">
        <f t="shared" si="5"/>
        <v>1800.9650000000001</v>
      </c>
      <c r="J66" s="3">
        <f t="shared" si="12"/>
        <v>1882.5870479835908</v>
      </c>
    </row>
    <row r="67" spans="2:11" x14ac:dyDescent="0.3">
      <c r="B67">
        <v>44</v>
      </c>
      <c r="C67" s="1" t="s">
        <v>29</v>
      </c>
      <c r="G67">
        <v>106.20540240723975</v>
      </c>
      <c r="I67" s="3">
        <f t="shared" si="5"/>
        <v>1825.25</v>
      </c>
      <c r="J67" s="3">
        <f t="shared" si="12"/>
        <v>1938.5141074381434</v>
      </c>
    </row>
    <row r="68" spans="2:11" x14ac:dyDescent="0.3">
      <c r="B68">
        <v>45</v>
      </c>
      <c r="C68" s="1" t="s">
        <v>30</v>
      </c>
      <c r="G68">
        <v>102.43601620282448</v>
      </c>
      <c r="I68" s="3">
        <f t="shared" si="5"/>
        <v>1849.5350000000001</v>
      </c>
      <c r="J68" s="3">
        <f t="shared" si="12"/>
        <v>1894.5899722769097</v>
      </c>
    </row>
    <row r="69" spans="2:11" x14ac:dyDescent="0.3">
      <c r="B69">
        <v>46</v>
      </c>
      <c r="C69" s="1" t="s">
        <v>31</v>
      </c>
      <c r="G69">
        <v>102.3535023706194</v>
      </c>
      <c r="I69" s="3">
        <f t="shared" si="5"/>
        <v>1873.82</v>
      </c>
      <c r="J69" s="3">
        <f t="shared" si="12"/>
        <v>1917.9203981211404</v>
      </c>
    </row>
    <row r="70" spans="2:11" x14ac:dyDescent="0.3">
      <c r="B70">
        <v>47</v>
      </c>
      <c r="C70" s="1" t="s">
        <v>32</v>
      </c>
      <c r="G70">
        <v>102.32026446914729</v>
      </c>
      <c r="I70" s="3">
        <f t="shared" si="5"/>
        <v>1898.105</v>
      </c>
      <c r="J70" s="3">
        <f t="shared" si="12"/>
        <v>1942.1460559021082</v>
      </c>
    </row>
    <row r="71" spans="2:11" x14ac:dyDescent="0.3">
      <c r="B71">
        <v>48</v>
      </c>
      <c r="C71" s="1" t="s">
        <v>33</v>
      </c>
      <c r="G71">
        <v>103.1229178934142</v>
      </c>
      <c r="I71" s="3">
        <f>24.285*B71+756.71</f>
        <v>1922.39</v>
      </c>
      <c r="J71" s="3">
        <f t="shared" si="12"/>
        <v>1982.4246612912052</v>
      </c>
    </row>
    <row r="72" spans="2:11" x14ac:dyDescent="0.3">
      <c r="J72" s="2" t="s">
        <v>48</v>
      </c>
      <c r="K72">
        <f>AVERAGE(K24:K59)</f>
        <v>11.021786488328091</v>
      </c>
    </row>
  </sheetData>
  <phoneticPr fontId="3" type="noConversion"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FF31-2129-4B71-BEB1-6C10E8B62735}">
  <dimension ref="A1:K37"/>
  <sheetViews>
    <sheetView zoomScaleNormal="100" workbookViewId="0">
      <selection activeCell="C2" sqref="C2:C37"/>
    </sheetView>
  </sheetViews>
  <sheetFormatPr defaultRowHeight="14.4" x14ac:dyDescent="0.3"/>
  <cols>
    <col min="1" max="1" width="10.6640625" bestFit="1" customWidth="1"/>
    <col min="2" max="2" width="10.77734375" bestFit="1" customWidth="1"/>
    <col min="3" max="3" width="11.88671875" bestFit="1" customWidth="1"/>
    <col min="4" max="5" width="12" bestFit="1" customWidth="1"/>
    <col min="6" max="6" width="12" customWidth="1"/>
    <col min="7" max="7" width="12.109375" bestFit="1" customWidth="1"/>
    <col min="8" max="8" width="12.6640625" bestFit="1" customWidth="1"/>
    <col min="9" max="9" width="11.5546875" bestFit="1" customWidth="1"/>
    <col min="10" max="11" width="12.109375" bestFit="1" customWidth="1"/>
  </cols>
  <sheetData>
    <row r="1" spans="1:11" x14ac:dyDescent="0.3">
      <c r="A1" t="s">
        <v>45</v>
      </c>
      <c r="B1" t="s">
        <v>18</v>
      </c>
      <c r="C1" t="s">
        <v>49</v>
      </c>
      <c r="D1" t="s">
        <v>50</v>
      </c>
      <c r="E1" t="s">
        <v>51</v>
      </c>
      <c r="F1" t="s">
        <v>54</v>
      </c>
      <c r="G1" t="s">
        <v>52</v>
      </c>
      <c r="H1" t="s">
        <v>44</v>
      </c>
      <c r="I1" t="s">
        <v>36</v>
      </c>
      <c r="J1" t="s">
        <v>46</v>
      </c>
      <c r="K1" t="s">
        <v>53</v>
      </c>
    </row>
    <row r="2" spans="1:11" x14ac:dyDescent="0.3">
      <c r="A2">
        <v>1</v>
      </c>
      <c r="B2" s="1">
        <v>44652</v>
      </c>
      <c r="C2">
        <v>548</v>
      </c>
      <c r="G2" s="3">
        <v>97.284540203978437</v>
      </c>
      <c r="H2" s="3">
        <v>563.29607854546828</v>
      </c>
      <c r="I2" s="3">
        <v>814.13599999999997</v>
      </c>
      <c r="J2" s="3">
        <v>792.02846423506185</v>
      </c>
      <c r="K2" s="3">
        <v>44.530741648733915</v>
      </c>
    </row>
    <row r="3" spans="1:11" x14ac:dyDescent="0.3">
      <c r="A3">
        <v>2</v>
      </c>
      <c r="B3" s="1">
        <v>44682</v>
      </c>
      <c r="C3">
        <v>612</v>
      </c>
      <c r="G3" s="3">
        <v>99.829737217083164</v>
      </c>
      <c r="H3" s="3">
        <v>613.04378540953701</v>
      </c>
      <c r="I3" s="3">
        <v>839.71199999999999</v>
      </c>
      <c r="J3" s="3">
        <v>838.28228298031331</v>
      </c>
      <c r="K3" s="3">
        <v>36.974229245149232</v>
      </c>
    </row>
    <row r="4" spans="1:11" x14ac:dyDescent="0.3">
      <c r="A4">
        <v>3</v>
      </c>
      <c r="B4" s="1">
        <v>44713</v>
      </c>
      <c r="C4">
        <v>632</v>
      </c>
      <c r="G4" s="3">
        <v>113.44561491703357</v>
      </c>
      <c r="H4" s="3">
        <v>557.09513361287873</v>
      </c>
      <c r="I4" s="3">
        <v>865.28800000000001</v>
      </c>
      <c r="J4" s="3">
        <v>981.63129240330147</v>
      </c>
      <c r="K4" s="3">
        <v>55.321407025838845</v>
      </c>
    </row>
    <row r="5" spans="1:11" x14ac:dyDescent="0.3">
      <c r="A5">
        <v>4</v>
      </c>
      <c r="B5" s="1">
        <v>44743</v>
      </c>
      <c r="C5">
        <v>745</v>
      </c>
      <c r="G5" s="3">
        <v>124.0325154427217</v>
      </c>
      <c r="H5" s="3">
        <v>600.64894865737153</v>
      </c>
      <c r="I5" s="3">
        <v>890.86399999999992</v>
      </c>
      <c r="J5" s="3">
        <v>1104.9610283736481</v>
      </c>
      <c r="K5" s="3">
        <v>48.316916560221223</v>
      </c>
    </row>
    <row r="6" spans="1:11" x14ac:dyDescent="0.3">
      <c r="A6">
        <v>5</v>
      </c>
      <c r="B6" s="1">
        <v>44774</v>
      </c>
      <c r="C6">
        <v>649</v>
      </c>
      <c r="G6" s="3">
        <v>118.32137595689694</v>
      </c>
      <c r="H6" s="3">
        <v>548.50612981074778</v>
      </c>
      <c r="I6" s="3">
        <v>916.43999999999994</v>
      </c>
      <c r="J6" s="3">
        <v>1084.3444178193863</v>
      </c>
      <c r="K6" s="3">
        <v>67.079263146284489</v>
      </c>
    </row>
    <row r="7" spans="1:11" x14ac:dyDescent="0.3">
      <c r="A7">
        <v>6</v>
      </c>
      <c r="B7" s="1">
        <v>44805</v>
      </c>
      <c r="C7">
        <v>789</v>
      </c>
      <c r="D7" s="3">
        <v>886.25</v>
      </c>
      <c r="E7" s="3"/>
      <c r="F7" s="3"/>
      <c r="G7" s="3">
        <v>113.16767900864333</v>
      </c>
      <c r="H7" s="3">
        <v>697.19553048334501</v>
      </c>
      <c r="I7" s="3">
        <v>942.01599999999996</v>
      </c>
      <c r="J7" s="3">
        <v>1066.0576430900614</v>
      </c>
      <c r="K7" s="3">
        <v>35.115037147029334</v>
      </c>
    </row>
    <row r="8" spans="1:11" x14ac:dyDescent="0.3">
      <c r="A8">
        <v>7</v>
      </c>
      <c r="B8" s="1">
        <v>44835</v>
      </c>
      <c r="C8">
        <v>1240</v>
      </c>
      <c r="D8" s="3">
        <v>950.58333333333337</v>
      </c>
      <c r="E8" s="3">
        <v>918.41666666666674</v>
      </c>
      <c r="F8" s="3">
        <f>((C8/E8)*100)/100</f>
        <v>1.350149714182016</v>
      </c>
      <c r="G8" s="3">
        <v>109.59832580769599</v>
      </c>
      <c r="H8" s="3">
        <v>1131.404144052105</v>
      </c>
      <c r="I8" s="3">
        <v>967.59199999999998</v>
      </c>
      <c r="J8" s="3">
        <v>1060.4646326492016</v>
      </c>
      <c r="K8" s="3">
        <v>14.478658657322455</v>
      </c>
    </row>
    <row r="9" spans="1:11" x14ac:dyDescent="0.3">
      <c r="A9">
        <v>8</v>
      </c>
      <c r="B9" s="1">
        <v>44866</v>
      </c>
      <c r="C9">
        <v>1180</v>
      </c>
      <c r="D9" s="3">
        <v>1012.9166666666666</v>
      </c>
      <c r="E9" s="3">
        <v>981.75</v>
      </c>
      <c r="F9" s="3">
        <f t="shared" ref="F9:F31" si="0">((C9/E9)*100)/100</f>
        <v>1.2019353195823783</v>
      </c>
      <c r="G9" s="3">
        <v>99.527893642368397</v>
      </c>
      <c r="H9" s="3">
        <v>1185.5972801354267</v>
      </c>
      <c r="I9" s="3">
        <v>993.16799999999989</v>
      </c>
      <c r="J9" s="3">
        <v>988.4791907300372</v>
      </c>
      <c r="K9" s="3">
        <v>16.230577056776507</v>
      </c>
    </row>
    <row r="10" spans="1:11" x14ac:dyDescent="0.3">
      <c r="A10">
        <v>9</v>
      </c>
      <c r="B10" s="1">
        <v>44896</v>
      </c>
      <c r="C10">
        <v>1160</v>
      </c>
      <c r="D10" s="3">
        <v>1091.9166666666667</v>
      </c>
      <c r="E10" s="3">
        <v>1052.4166666666667</v>
      </c>
      <c r="F10" s="3">
        <f t="shared" si="0"/>
        <v>1.1022250376118456</v>
      </c>
      <c r="G10" s="3">
        <v>93.616937033261792</v>
      </c>
      <c r="H10" s="3">
        <v>1239.0920241150975</v>
      </c>
      <c r="I10" s="3">
        <v>1018.7439999999999</v>
      </c>
      <c r="J10" s="3">
        <v>953.71692901013239</v>
      </c>
      <c r="K10" s="3">
        <v>17.783023361195482</v>
      </c>
    </row>
    <row r="11" spans="1:11" x14ac:dyDescent="0.3">
      <c r="A11">
        <v>10</v>
      </c>
      <c r="B11" s="1">
        <v>44927</v>
      </c>
      <c r="C11">
        <v>1070</v>
      </c>
      <c r="D11" s="3">
        <v>1166.5</v>
      </c>
      <c r="E11" s="3">
        <v>1129.2083333333335</v>
      </c>
      <c r="F11" s="3">
        <f t="shared" si="0"/>
        <v>0.94756651046086848</v>
      </c>
      <c r="G11" s="3">
        <v>84.535321900265998</v>
      </c>
      <c r="H11" s="3">
        <v>1265.743095250026</v>
      </c>
      <c r="I11" s="3">
        <v>1044.32</v>
      </c>
      <c r="J11" s="3">
        <v>882.81927366885782</v>
      </c>
      <c r="K11" s="3">
        <v>17.493525825340392</v>
      </c>
    </row>
    <row r="12" spans="1:11" x14ac:dyDescent="0.3">
      <c r="A12">
        <v>11</v>
      </c>
      <c r="B12" s="1">
        <v>44958</v>
      </c>
      <c r="C12">
        <v>1010</v>
      </c>
      <c r="D12" s="3">
        <v>1244.0833333333333</v>
      </c>
      <c r="E12" s="3">
        <v>1205.2916666666665</v>
      </c>
      <c r="F12" s="3">
        <f t="shared" si="0"/>
        <v>0.83797144536246426</v>
      </c>
      <c r="G12" s="3">
        <v>75.084876272975464</v>
      </c>
      <c r="H12" s="3">
        <v>1345.1443887688993</v>
      </c>
      <c r="I12" s="3">
        <v>1069.896</v>
      </c>
      <c r="J12" s="3">
        <v>803.33008784951346</v>
      </c>
      <c r="K12" s="3">
        <v>20.462367539652131</v>
      </c>
    </row>
    <row r="13" spans="1:11" x14ac:dyDescent="0.3">
      <c r="A13">
        <v>12</v>
      </c>
      <c r="B13" s="1">
        <v>44986</v>
      </c>
      <c r="C13">
        <v>1000</v>
      </c>
      <c r="D13" s="3">
        <v>1309.1666666666667</v>
      </c>
      <c r="E13" s="3">
        <v>1276.625</v>
      </c>
      <c r="F13" s="3">
        <f t="shared" si="0"/>
        <v>0.78331538235582099</v>
      </c>
      <c r="G13" s="3">
        <v>71.555182597075316</v>
      </c>
      <c r="H13" s="3">
        <v>1397.5228120525726</v>
      </c>
      <c r="I13" s="3">
        <v>1095.472</v>
      </c>
      <c r="J13" s="3">
        <v>783.86698989983279</v>
      </c>
      <c r="K13" s="3">
        <v>21.613301010016723</v>
      </c>
    </row>
    <row r="14" spans="1:11" x14ac:dyDescent="0.3">
      <c r="A14">
        <v>13</v>
      </c>
      <c r="B14" s="1">
        <v>45017</v>
      </c>
      <c r="C14">
        <v>1320</v>
      </c>
      <c r="D14" s="3">
        <v>1310.8333333333333</v>
      </c>
      <c r="E14" s="3">
        <v>1310</v>
      </c>
      <c r="F14" s="3">
        <f t="shared" si="0"/>
        <v>1.0076335877862594</v>
      </c>
      <c r="G14" s="3">
        <v>97.284540203978437</v>
      </c>
      <c r="H14" s="3">
        <v>1356.844568759157</v>
      </c>
      <c r="I14" s="3">
        <v>1121.048</v>
      </c>
      <c r="J14" s="3">
        <v>1090.6063922658961</v>
      </c>
      <c r="K14" s="3">
        <v>17.378303616219988</v>
      </c>
    </row>
    <row r="15" spans="1:11" x14ac:dyDescent="0.3">
      <c r="A15">
        <v>14</v>
      </c>
      <c r="B15" s="1">
        <v>45047</v>
      </c>
      <c r="C15">
        <v>1360</v>
      </c>
      <c r="D15" s="3">
        <v>1311.6666666666667</v>
      </c>
      <c r="E15" s="3">
        <v>1311.25</v>
      </c>
      <c r="F15" s="3">
        <f t="shared" si="0"/>
        <v>1.0371782650142993</v>
      </c>
      <c r="G15" s="3">
        <v>99.829737217083164</v>
      </c>
      <c r="H15" s="3">
        <v>1362.3195231323045</v>
      </c>
      <c r="I15" s="3">
        <v>1146.624</v>
      </c>
      <c r="J15" s="3">
        <v>1144.6717260680077</v>
      </c>
      <c r="K15" s="3">
        <v>15.832961318528843</v>
      </c>
    </row>
    <row r="16" spans="1:11" x14ac:dyDescent="0.3">
      <c r="A16">
        <v>15</v>
      </c>
      <c r="B16" s="1">
        <v>45078</v>
      </c>
      <c r="C16">
        <v>1580</v>
      </c>
      <c r="D16" s="3">
        <v>1312.5</v>
      </c>
      <c r="E16" s="3">
        <v>1312.0833333333335</v>
      </c>
      <c r="F16" s="3">
        <f t="shared" si="0"/>
        <v>1.2041918069228326</v>
      </c>
      <c r="G16" s="3">
        <v>113.44561491703357</v>
      </c>
      <c r="H16" s="3">
        <v>1392.7378340321968</v>
      </c>
      <c r="I16" s="3">
        <v>1172.1999999999998</v>
      </c>
      <c r="J16" s="3">
        <v>1329.8094980574672</v>
      </c>
      <c r="K16" s="3">
        <v>15.834841895097012</v>
      </c>
    </row>
    <row r="17" spans="1:11" x14ac:dyDescent="0.3">
      <c r="A17">
        <v>16</v>
      </c>
      <c r="B17" s="1">
        <v>45108</v>
      </c>
      <c r="C17">
        <v>1640</v>
      </c>
      <c r="D17" s="3">
        <v>1318.3333333333333</v>
      </c>
      <c r="E17" s="3">
        <v>1315.4166666666665</v>
      </c>
      <c r="F17" s="3">
        <f t="shared" si="0"/>
        <v>1.2467532467532469</v>
      </c>
      <c r="G17" s="3">
        <v>124.0325154427217</v>
      </c>
      <c r="H17" s="3">
        <v>1322.2339272457577</v>
      </c>
      <c r="I17" s="3">
        <v>1197.7759999999998</v>
      </c>
      <c r="J17" s="3">
        <v>1485.6317021692139</v>
      </c>
      <c r="K17" s="3">
        <v>9.4127010872430557</v>
      </c>
    </row>
    <row r="18" spans="1:11" x14ac:dyDescent="0.3">
      <c r="A18">
        <v>17</v>
      </c>
      <c r="B18" s="1">
        <v>45139</v>
      </c>
      <c r="C18">
        <v>1580</v>
      </c>
      <c r="D18" s="3">
        <v>1320.8333333333333</v>
      </c>
      <c r="E18" s="3">
        <v>1319.5833333333333</v>
      </c>
      <c r="F18" s="3">
        <f t="shared" si="0"/>
        <v>1.1973476476160405</v>
      </c>
      <c r="G18" s="3">
        <v>118.32137595689694</v>
      </c>
      <c r="H18" s="3">
        <v>1335.3462020045938</v>
      </c>
      <c r="I18" s="3">
        <v>1223.3519999999999</v>
      </c>
      <c r="J18" s="3">
        <v>1447.4869191962177</v>
      </c>
      <c r="K18" s="3">
        <v>8.3869038483406495</v>
      </c>
    </row>
    <row r="19" spans="1:11" x14ac:dyDescent="0.3">
      <c r="A19">
        <v>18</v>
      </c>
      <c r="B19" s="1">
        <v>45170</v>
      </c>
      <c r="C19">
        <v>1570</v>
      </c>
      <c r="D19" s="3">
        <v>1323.3333333333333</v>
      </c>
      <c r="E19" s="3">
        <v>1322.0833333333333</v>
      </c>
      <c r="F19" s="3">
        <f t="shared" si="0"/>
        <v>1.1875196974472109</v>
      </c>
      <c r="G19" s="3">
        <v>113.16767900864333</v>
      </c>
      <c r="H19" s="3">
        <v>1387.3219047640707</v>
      </c>
      <c r="I19" s="3">
        <v>1248.9279999999999</v>
      </c>
      <c r="J19" s="3">
        <v>1413.3828300890686</v>
      </c>
      <c r="K19" s="3">
        <v>9.975615917893716</v>
      </c>
    </row>
    <row r="20" spans="1:11" x14ac:dyDescent="0.3">
      <c r="A20">
        <v>19</v>
      </c>
      <c r="B20" s="1">
        <v>45200</v>
      </c>
      <c r="C20">
        <v>1260</v>
      </c>
      <c r="D20" s="3">
        <v>1338.3333333333333</v>
      </c>
      <c r="E20" s="3">
        <v>1330.8333333333333</v>
      </c>
      <c r="F20" s="3">
        <f t="shared" si="0"/>
        <v>0.94677520350657485</v>
      </c>
      <c r="G20" s="3">
        <v>109.59832580769599</v>
      </c>
      <c r="H20" s="3">
        <v>1149.6525979884293</v>
      </c>
      <c r="I20" s="3">
        <v>1274.5039999999999</v>
      </c>
      <c r="J20" s="3">
        <v>1396.8350463521174</v>
      </c>
      <c r="K20" s="3">
        <v>10.859924313660111</v>
      </c>
    </row>
    <row r="21" spans="1:11" x14ac:dyDescent="0.3">
      <c r="A21">
        <v>20</v>
      </c>
      <c r="B21" s="1">
        <v>45231</v>
      </c>
      <c r="C21">
        <v>1190</v>
      </c>
      <c r="D21" s="3">
        <v>1354.1666666666667</v>
      </c>
      <c r="E21" s="3">
        <v>1346.25</v>
      </c>
      <c r="F21" s="3">
        <f t="shared" si="0"/>
        <v>0.8839368616527391</v>
      </c>
      <c r="G21" s="3">
        <v>99.527893642368397</v>
      </c>
      <c r="H21" s="3">
        <v>1195.6447147128456</v>
      </c>
      <c r="I21" s="3">
        <v>1300.08</v>
      </c>
      <c r="J21" s="3">
        <v>1293.942239665703</v>
      </c>
      <c r="K21" s="3">
        <v>8.7346419887145412</v>
      </c>
    </row>
    <row r="22" spans="1:11" x14ac:dyDescent="0.3">
      <c r="A22">
        <v>21</v>
      </c>
      <c r="B22" s="1">
        <v>45261</v>
      </c>
      <c r="C22">
        <v>1170</v>
      </c>
      <c r="D22" s="3">
        <v>1367.5</v>
      </c>
      <c r="E22" s="3">
        <v>1360.8333333333335</v>
      </c>
      <c r="F22" s="3">
        <f t="shared" si="0"/>
        <v>0.85976729944886698</v>
      </c>
      <c r="G22" s="3">
        <v>93.616937033261792</v>
      </c>
      <c r="H22" s="3">
        <v>1249.7738519091934</v>
      </c>
      <c r="I22" s="3">
        <v>1325.6559999999999</v>
      </c>
      <c r="J22" s="3">
        <v>1241.0385427976569</v>
      </c>
      <c r="K22" s="3">
        <v>6.0716703245860577</v>
      </c>
    </row>
    <row r="23" spans="1:11" x14ac:dyDescent="0.3">
      <c r="A23">
        <v>22</v>
      </c>
      <c r="B23" s="1">
        <v>45292</v>
      </c>
      <c r="C23">
        <v>1140</v>
      </c>
      <c r="D23" s="3">
        <v>1399.1666666666667</v>
      </c>
      <c r="E23" s="3">
        <v>1383.3333333333335</v>
      </c>
      <c r="F23" s="3">
        <f t="shared" si="0"/>
        <v>0.82409638554216857</v>
      </c>
      <c r="G23" s="3">
        <v>84.535321900265998</v>
      </c>
      <c r="H23" s="3">
        <v>1348.548718303766</v>
      </c>
      <c r="I23" s="3">
        <v>1351.232</v>
      </c>
      <c r="J23" s="3">
        <v>1142.2683208194023</v>
      </c>
      <c r="K23" s="3">
        <v>0.19897551047388892</v>
      </c>
    </row>
    <row r="24" spans="1:11" x14ac:dyDescent="0.3">
      <c r="A24">
        <v>23</v>
      </c>
      <c r="B24" s="1">
        <v>45323</v>
      </c>
      <c r="C24">
        <v>1040</v>
      </c>
      <c r="D24" s="3">
        <v>1428.3333333333333</v>
      </c>
      <c r="E24" s="3">
        <v>1413.75</v>
      </c>
      <c r="F24" s="3">
        <f t="shared" si="0"/>
        <v>0.73563218390804597</v>
      </c>
      <c r="G24" s="3">
        <v>75.084876272975464</v>
      </c>
      <c r="H24" s="3">
        <v>1385.0991725937179</v>
      </c>
      <c r="I24" s="3">
        <v>1376.808</v>
      </c>
      <c r="J24" s="3">
        <v>1033.7745833164281</v>
      </c>
      <c r="K24" s="3">
        <v>0.59859775803575899</v>
      </c>
    </row>
    <row r="25" spans="1:11" x14ac:dyDescent="0.3">
      <c r="A25">
        <v>24</v>
      </c>
      <c r="B25" s="1">
        <v>45352</v>
      </c>
      <c r="C25">
        <v>1030</v>
      </c>
      <c r="D25" s="3">
        <v>1447.5</v>
      </c>
      <c r="E25" s="3">
        <v>1437.9166666666665</v>
      </c>
      <c r="F25" s="3">
        <f t="shared" si="0"/>
        <v>0.71631411185163729</v>
      </c>
      <c r="G25" s="3">
        <v>71.555182597075316</v>
      </c>
      <c r="H25" s="3">
        <v>1439.4484964141498</v>
      </c>
      <c r="I25" s="3">
        <v>1402.384</v>
      </c>
      <c r="J25" s="3">
        <v>1003.4784319121687</v>
      </c>
      <c r="K25" s="3">
        <v>2.5749095230904144</v>
      </c>
    </row>
    <row r="26" spans="1:11" x14ac:dyDescent="0.3">
      <c r="A26">
        <v>25</v>
      </c>
      <c r="B26" s="1">
        <v>45383</v>
      </c>
      <c r="C26">
        <v>1500</v>
      </c>
      <c r="D26" s="3">
        <v>1461.6666666666667</v>
      </c>
      <c r="E26" s="3">
        <v>1454.5833333333335</v>
      </c>
      <c r="F26" s="3">
        <f t="shared" si="0"/>
        <v>1.0312231452305929</v>
      </c>
      <c r="G26" s="3">
        <v>97.284540203978437</v>
      </c>
      <c r="H26" s="3">
        <v>1541.8688281354057</v>
      </c>
      <c r="I26" s="3">
        <v>1427.96</v>
      </c>
      <c r="J26" s="3">
        <v>1389.1843202967304</v>
      </c>
      <c r="K26" s="3">
        <v>7.3877119802179703</v>
      </c>
    </row>
    <row r="27" spans="1:11" x14ac:dyDescent="0.3">
      <c r="A27">
        <v>26</v>
      </c>
      <c r="B27" s="1">
        <v>45413</v>
      </c>
      <c r="C27">
        <v>1550</v>
      </c>
      <c r="D27" s="3">
        <v>1476.6666666666667</v>
      </c>
      <c r="E27" s="3">
        <v>1469.1666666666667</v>
      </c>
      <c r="F27" s="3">
        <f t="shared" si="0"/>
        <v>1.0550198525241066</v>
      </c>
      <c r="G27" s="3">
        <v>99.829737217083164</v>
      </c>
      <c r="H27" s="3">
        <v>1552.6435741581411</v>
      </c>
      <c r="I27" s="3">
        <v>1453.5360000000001</v>
      </c>
      <c r="J27" s="3">
        <v>1451.0611691557019</v>
      </c>
      <c r="K27" s="3">
        <v>6.3831503770514884</v>
      </c>
    </row>
    <row r="28" spans="1:11" x14ac:dyDescent="0.3">
      <c r="A28">
        <v>27</v>
      </c>
      <c r="B28" s="1">
        <v>45444</v>
      </c>
      <c r="C28">
        <v>1740</v>
      </c>
      <c r="D28" s="3">
        <v>1489.1666666666667</v>
      </c>
      <c r="E28" s="3">
        <v>1482.9166666666667</v>
      </c>
      <c r="F28" s="3">
        <f t="shared" si="0"/>
        <v>1.1733633042989604</v>
      </c>
      <c r="G28" s="3">
        <v>113.44561491703357</v>
      </c>
      <c r="H28" s="3">
        <v>1533.7745767190015</v>
      </c>
      <c r="I28" s="3">
        <v>1479.1120000000001</v>
      </c>
      <c r="J28" s="3">
        <v>1677.9877037116335</v>
      </c>
      <c r="K28" s="3">
        <v>3.5639250740440538</v>
      </c>
    </row>
    <row r="29" spans="1:11" x14ac:dyDescent="0.3">
      <c r="A29">
        <v>28</v>
      </c>
      <c r="B29" s="1">
        <v>45474</v>
      </c>
      <c r="C29">
        <v>2020</v>
      </c>
      <c r="D29" s="3">
        <v>1497.5</v>
      </c>
      <c r="E29" s="3">
        <v>1493.3333333333335</v>
      </c>
      <c r="F29" s="3">
        <f t="shared" si="0"/>
        <v>1.3526785714285714</v>
      </c>
      <c r="G29" s="3">
        <v>124.0325154427217</v>
      </c>
      <c r="H29" s="3">
        <v>1628.6052030709943</v>
      </c>
      <c r="I29" s="3">
        <v>1504.6880000000001</v>
      </c>
      <c r="J29" s="3">
        <v>1866.3023759647806</v>
      </c>
      <c r="K29" s="3">
        <v>7.6087932690702669</v>
      </c>
    </row>
    <row r="30" spans="1:11" x14ac:dyDescent="0.3">
      <c r="A30">
        <v>29</v>
      </c>
      <c r="B30" s="1">
        <v>45505</v>
      </c>
      <c r="C30">
        <v>1930</v>
      </c>
      <c r="D30" s="3">
        <v>1512.5</v>
      </c>
      <c r="E30" s="3">
        <v>1505</v>
      </c>
      <c r="F30" s="3">
        <f t="shared" si="0"/>
        <v>1.2823920265780731</v>
      </c>
      <c r="G30" s="3">
        <v>118.32137595689694</v>
      </c>
      <c r="H30" s="3">
        <v>1631.1507404233328</v>
      </c>
      <c r="I30" s="3">
        <v>1530.2640000000001</v>
      </c>
      <c r="J30" s="3">
        <v>1810.6294205730496</v>
      </c>
      <c r="K30" s="3">
        <v>6.1850041153860298</v>
      </c>
    </row>
    <row r="31" spans="1:11" x14ac:dyDescent="0.3">
      <c r="A31">
        <v>30</v>
      </c>
      <c r="B31" s="1">
        <v>45536</v>
      </c>
      <c r="C31">
        <v>1800</v>
      </c>
      <c r="D31" s="3">
        <v>1527.5</v>
      </c>
      <c r="E31" s="3">
        <v>1520</v>
      </c>
      <c r="F31" s="3">
        <f t="shared" si="0"/>
        <v>1.1842105263157894</v>
      </c>
      <c r="G31" s="3">
        <v>113.16767900864333</v>
      </c>
      <c r="H31" s="3">
        <v>1590.5601455893805</v>
      </c>
      <c r="I31" s="3">
        <v>1555.84</v>
      </c>
      <c r="J31" s="3">
        <v>1760.7080170880765</v>
      </c>
      <c r="K31" s="3">
        <v>2.1828879395513039</v>
      </c>
    </row>
    <row r="32" spans="1:11" x14ac:dyDescent="0.3">
      <c r="A32">
        <v>31</v>
      </c>
      <c r="B32" s="1">
        <v>45566</v>
      </c>
      <c r="C32">
        <v>1430</v>
      </c>
      <c r="G32" s="3">
        <v>109.59832580769599</v>
      </c>
      <c r="H32" s="3">
        <v>1304.7644564471857</v>
      </c>
      <c r="I32" s="3">
        <v>1581.4159999999999</v>
      </c>
      <c r="J32" s="3">
        <v>1733.2054600550337</v>
      </c>
      <c r="K32" s="3">
        <v>21.203179024827527</v>
      </c>
    </row>
    <row r="33" spans="1:11" x14ac:dyDescent="0.3">
      <c r="A33">
        <v>32</v>
      </c>
      <c r="B33" s="1">
        <v>45597</v>
      </c>
      <c r="C33">
        <v>1370</v>
      </c>
      <c r="G33" s="3">
        <v>99.527893642368397</v>
      </c>
      <c r="H33" s="3">
        <v>1376.4985371063854</v>
      </c>
      <c r="I33" s="3">
        <v>1606.992</v>
      </c>
      <c r="J33" s="3">
        <v>1599.4052886013687</v>
      </c>
      <c r="K33" s="3">
        <v>16.744911576742243</v>
      </c>
    </row>
    <row r="34" spans="1:11" x14ac:dyDescent="0.3">
      <c r="A34">
        <v>33</v>
      </c>
      <c r="B34" s="1">
        <v>45627</v>
      </c>
      <c r="C34">
        <v>1320</v>
      </c>
      <c r="G34" s="3">
        <v>93.616937033261792</v>
      </c>
      <c r="H34" s="3">
        <v>1410.0012688206284</v>
      </c>
      <c r="I34" s="3">
        <v>1632.568</v>
      </c>
      <c r="J34" s="3">
        <v>1528.3601565851814</v>
      </c>
      <c r="K34" s="3">
        <v>15.784860347362223</v>
      </c>
    </row>
    <row r="35" spans="1:11" x14ac:dyDescent="0.3">
      <c r="A35">
        <v>34</v>
      </c>
      <c r="B35" s="1">
        <v>45658</v>
      </c>
      <c r="C35">
        <v>1240</v>
      </c>
      <c r="G35" s="3">
        <v>84.535321900265998</v>
      </c>
      <c r="H35" s="3">
        <v>1466.8424655233946</v>
      </c>
      <c r="I35" s="3">
        <v>1658.144</v>
      </c>
      <c r="J35" s="3">
        <v>1401.7173679699467</v>
      </c>
      <c r="K35" s="3">
        <v>13.041723223382801</v>
      </c>
    </row>
    <row r="36" spans="1:11" x14ac:dyDescent="0.3">
      <c r="A36">
        <v>35</v>
      </c>
      <c r="B36" s="1">
        <v>45689</v>
      </c>
      <c r="C36">
        <v>1220</v>
      </c>
      <c r="G36" s="3">
        <v>75.084876272975464</v>
      </c>
      <c r="H36" s="3">
        <v>1624.8278755426306</v>
      </c>
      <c r="I36" s="3">
        <v>1683.7199999999998</v>
      </c>
      <c r="J36" s="3">
        <v>1264.2190787833422</v>
      </c>
      <c r="K36" s="3">
        <v>3.6245146543723101</v>
      </c>
    </row>
    <row r="37" spans="1:11" x14ac:dyDescent="0.3">
      <c r="A37">
        <v>36</v>
      </c>
      <c r="B37" s="1">
        <v>45717</v>
      </c>
      <c r="C37">
        <v>1210</v>
      </c>
      <c r="G37" s="3">
        <v>71.555182597075316</v>
      </c>
      <c r="H37" s="3">
        <v>1691.0026025836128</v>
      </c>
      <c r="I37" s="3">
        <v>1709.2959999999998</v>
      </c>
      <c r="J37" s="3">
        <v>1223.0898739245044</v>
      </c>
      <c r="K37" s="3">
        <v>1.0818077623557392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9E74-41F4-4CB6-B9B4-545A8BD3DDBC}">
  <dimension ref="A1:K49"/>
  <sheetViews>
    <sheetView topLeftCell="A23" workbookViewId="0">
      <selection activeCell="C2" sqref="C2:C37"/>
    </sheetView>
  </sheetViews>
  <sheetFormatPr defaultRowHeight="14.4" x14ac:dyDescent="0.3"/>
  <cols>
    <col min="1" max="1" width="11" bestFit="1" customWidth="1"/>
    <col min="2" max="2" width="11.109375" bestFit="1" customWidth="1"/>
    <col min="3" max="3" width="12.44140625" bestFit="1" customWidth="1"/>
    <col min="4" max="4" width="7.5546875" bestFit="1" customWidth="1"/>
    <col min="5" max="5" width="10" bestFit="1" customWidth="1"/>
    <col min="6" max="6" width="10" customWidth="1"/>
    <col min="7" max="7" width="12" bestFit="1" customWidth="1"/>
    <col min="8" max="8" width="12.6640625" bestFit="1" customWidth="1"/>
    <col min="9" max="9" width="7.5546875" bestFit="1" customWidth="1"/>
    <col min="10" max="10" width="8" bestFit="1" customWidth="1"/>
    <col min="11" max="11" width="12" bestFit="1" customWidth="1"/>
  </cols>
  <sheetData>
    <row r="1" spans="1:11" x14ac:dyDescent="0.3">
      <c r="A1" s="2" t="s">
        <v>45</v>
      </c>
      <c r="B1" s="2" t="s">
        <v>18</v>
      </c>
      <c r="C1" s="2" t="s">
        <v>57</v>
      </c>
      <c r="D1" s="2" t="s">
        <v>55</v>
      </c>
      <c r="E1" s="2" t="s">
        <v>51</v>
      </c>
      <c r="F1" s="2" t="s">
        <v>56</v>
      </c>
      <c r="G1" s="6" t="s">
        <v>52</v>
      </c>
      <c r="H1" s="6" t="s">
        <v>44</v>
      </c>
      <c r="I1" s="6" t="s">
        <v>36</v>
      </c>
      <c r="J1" s="6" t="s">
        <v>46</v>
      </c>
      <c r="K1" s="2" t="s">
        <v>53</v>
      </c>
    </row>
    <row r="2" spans="1:11" x14ac:dyDescent="0.3">
      <c r="A2">
        <v>1</v>
      </c>
      <c r="B2" s="1">
        <v>44652</v>
      </c>
      <c r="C2" s="10">
        <v>569</v>
      </c>
      <c r="G2" s="3">
        <v>100.0694572442768</v>
      </c>
      <c r="H2" s="3">
        <f>C2/G2*100</f>
        <v>568.60506259270471</v>
      </c>
      <c r="I2" s="3">
        <f t="shared" ref="I2:I37" si="0">24.285*A2+756.71</f>
        <v>780.995</v>
      </c>
      <c r="J2" s="3">
        <f>I2*G2/100</f>
        <v>781.53745760493973</v>
      </c>
      <c r="K2" s="3">
        <f>ABS((C2-J2)/C2)*100</f>
        <v>37.352804499989404</v>
      </c>
    </row>
    <row r="3" spans="1:11" x14ac:dyDescent="0.3">
      <c r="A3">
        <v>2</v>
      </c>
      <c r="B3" s="1">
        <v>44682</v>
      </c>
      <c r="C3" s="10">
        <v>621</v>
      </c>
      <c r="G3" s="3">
        <v>94.787101846183702</v>
      </c>
      <c r="H3" s="3">
        <f t="shared" ref="H3:H37" si="1">C3/G3*100</f>
        <v>655.15242886920544</v>
      </c>
      <c r="I3" s="3">
        <f t="shared" si="0"/>
        <v>805.28000000000009</v>
      </c>
      <c r="J3" s="3">
        <f t="shared" ref="J3:J37" si="2">I3*G3/100</f>
        <v>763.30157374694829</v>
      </c>
      <c r="K3" s="3">
        <f t="shared" ref="K3:K37" si="3">ABS((C3-J3)/C3)*100</f>
        <v>22.914907205627742</v>
      </c>
    </row>
    <row r="4" spans="1:11" x14ac:dyDescent="0.3">
      <c r="A4">
        <v>3</v>
      </c>
      <c r="B4" s="1">
        <v>44713</v>
      </c>
      <c r="C4" s="10">
        <v>459</v>
      </c>
      <c r="G4" s="3">
        <v>97.25746223941195</v>
      </c>
      <c r="H4" s="3">
        <f t="shared" si="1"/>
        <v>471.94322104571427</v>
      </c>
      <c r="I4" s="3">
        <f t="shared" si="0"/>
        <v>829.56500000000005</v>
      </c>
      <c r="J4" s="3">
        <f t="shared" si="2"/>
        <v>806.81386662637783</v>
      </c>
      <c r="K4" s="3">
        <f t="shared" si="3"/>
        <v>75.776441530801279</v>
      </c>
    </row>
    <row r="5" spans="1:11" x14ac:dyDescent="0.3">
      <c r="A5">
        <v>4</v>
      </c>
      <c r="B5" s="1">
        <v>44743</v>
      </c>
      <c r="C5" s="10">
        <v>784</v>
      </c>
      <c r="G5" s="3">
        <v>95.397286596010289</v>
      </c>
      <c r="H5" s="3">
        <f t="shared" si="1"/>
        <v>821.8263097147551</v>
      </c>
      <c r="I5" s="3">
        <f t="shared" si="0"/>
        <v>853.85</v>
      </c>
      <c r="J5" s="3">
        <f t="shared" si="2"/>
        <v>814.54973160003385</v>
      </c>
      <c r="K5" s="3">
        <f t="shared" si="3"/>
        <v>3.8966494387798276</v>
      </c>
    </row>
    <row r="6" spans="1:11" x14ac:dyDescent="0.3">
      <c r="A6">
        <v>5</v>
      </c>
      <c r="B6" s="1">
        <v>44774</v>
      </c>
      <c r="C6" s="10">
        <v>649</v>
      </c>
      <c r="G6" s="3">
        <v>103.32601832089622</v>
      </c>
      <c r="H6" s="3">
        <f t="shared" si="1"/>
        <v>628.10898024195808</v>
      </c>
      <c r="I6" s="3">
        <f t="shared" si="0"/>
        <v>878.13499999999999</v>
      </c>
      <c r="J6" s="3">
        <f t="shared" si="2"/>
        <v>907.34193098220203</v>
      </c>
      <c r="K6" s="3">
        <f t="shared" si="3"/>
        <v>39.80615269371372</v>
      </c>
    </row>
    <row r="7" spans="1:11" x14ac:dyDescent="0.3">
      <c r="A7">
        <v>6</v>
      </c>
      <c r="B7" s="1">
        <v>44805</v>
      </c>
      <c r="C7" s="10">
        <v>799</v>
      </c>
      <c r="D7" s="3">
        <f>AVERAGE(C2:C13)</f>
        <v>870.75</v>
      </c>
      <c r="G7" s="3">
        <v>88.192441913109462</v>
      </c>
      <c r="H7" s="3">
        <f t="shared" si="1"/>
        <v>905.97332681547141</v>
      </c>
      <c r="I7" s="3">
        <f t="shared" si="0"/>
        <v>902.42000000000007</v>
      </c>
      <c r="J7" s="3">
        <f t="shared" si="2"/>
        <v>795.86623431228247</v>
      </c>
      <c r="K7" s="3">
        <f t="shared" si="3"/>
        <v>0.39221097468304472</v>
      </c>
    </row>
    <row r="8" spans="1:11" x14ac:dyDescent="0.3">
      <c r="A8">
        <v>7</v>
      </c>
      <c r="B8" s="1">
        <v>44835</v>
      </c>
      <c r="C8" s="10">
        <v>1006</v>
      </c>
      <c r="D8" s="3">
        <f t="shared" ref="D8:D31" si="4">AVERAGE(C3:C14)</f>
        <v>920.25</v>
      </c>
      <c r="E8" s="3">
        <f>AVERAGE(D7:D8)</f>
        <v>895.5</v>
      </c>
      <c r="F8" s="3">
        <f>((C8/E8)*100)/100</f>
        <v>1.123394751535455</v>
      </c>
      <c r="G8" s="3">
        <v>104.53212849686643</v>
      </c>
      <c r="H8" s="3">
        <f t="shared" si="1"/>
        <v>962.38354127664877</v>
      </c>
      <c r="I8" s="3">
        <f t="shared" si="0"/>
        <v>926.70500000000004</v>
      </c>
      <c r="J8" s="3">
        <f t="shared" si="2"/>
        <v>968.70446138688612</v>
      </c>
      <c r="K8" s="3">
        <f t="shared" si="3"/>
        <v>3.7073100013035662</v>
      </c>
    </row>
    <row r="9" spans="1:11" x14ac:dyDescent="0.3">
      <c r="A9">
        <v>8</v>
      </c>
      <c r="B9" s="1">
        <v>44866</v>
      </c>
      <c r="C9" s="10">
        <v>1068</v>
      </c>
      <c r="D9" s="3">
        <f t="shared" si="4"/>
        <v>964.08333333333337</v>
      </c>
      <c r="E9" s="3">
        <f t="shared" ref="E9:E31" si="5">AVERAGE(D8:D9)</f>
        <v>942.16666666666674</v>
      </c>
      <c r="F9" s="3">
        <f t="shared" ref="F9:F31" si="6">((C9/E9)*100)/100</f>
        <v>1.1335574031487705</v>
      </c>
      <c r="G9" s="3">
        <v>106.20540240723975</v>
      </c>
      <c r="H9" s="3">
        <f t="shared" si="1"/>
        <v>1005.5985625898794</v>
      </c>
      <c r="I9" s="3">
        <f t="shared" si="0"/>
        <v>950.99</v>
      </c>
      <c r="J9" s="3">
        <f t="shared" si="2"/>
        <v>1010.0027563526093</v>
      </c>
      <c r="K9" s="3">
        <f t="shared" si="3"/>
        <v>5.4304535250365866</v>
      </c>
    </row>
    <row r="10" spans="1:11" x14ac:dyDescent="0.3">
      <c r="A10">
        <v>9</v>
      </c>
      <c r="B10" s="1">
        <v>44896</v>
      </c>
      <c r="C10" s="10">
        <v>1082</v>
      </c>
      <c r="D10" s="3">
        <f t="shared" si="4"/>
        <v>1027.4166666666667</v>
      </c>
      <c r="E10" s="3">
        <f t="shared" si="5"/>
        <v>995.75</v>
      </c>
      <c r="F10" s="3">
        <f t="shared" si="6"/>
        <v>1.0866181270399196</v>
      </c>
      <c r="G10" s="3">
        <v>102.43601620282448</v>
      </c>
      <c r="H10" s="3">
        <f t="shared" si="1"/>
        <v>1056.2691132556618</v>
      </c>
      <c r="I10" s="3">
        <f t="shared" si="0"/>
        <v>975.27500000000009</v>
      </c>
      <c r="J10" s="3">
        <f t="shared" si="2"/>
        <v>999.03285702209644</v>
      </c>
      <c r="K10" s="3">
        <f t="shared" si="3"/>
        <v>7.6679429739282403</v>
      </c>
    </row>
    <row r="11" spans="1:11" x14ac:dyDescent="0.3">
      <c r="A11">
        <v>10</v>
      </c>
      <c r="B11" s="1">
        <v>44927</v>
      </c>
      <c r="C11" s="10">
        <v>1097</v>
      </c>
      <c r="D11" s="3">
        <f t="shared" si="4"/>
        <v>1065.5833333333333</v>
      </c>
      <c r="E11" s="3">
        <f t="shared" si="5"/>
        <v>1046.5</v>
      </c>
      <c r="F11" s="3">
        <f t="shared" si="6"/>
        <v>1.0482560917343526</v>
      </c>
      <c r="G11" s="3">
        <v>102.3535023706194</v>
      </c>
      <c r="H11" s="3">
        <f t="shared" si="1"/>
        <v>1071.7757327226491</v>
      </c>
      <c r="I11" s="3">
        <f t="shared" si="0"/>
        <v>999.56000000000006</v>
      </c>
      <c r="J11" s="3">
        <f t="shared" si="2"/>
        <v>1023.0846682957632</v>
      </c>
      <c r="K11" s="3">
        <f t="shared" si="3"/>
        <v>6.7379518417718138</v>
      </c>
    </row>
    <row r="12" spans="1:11" x14ac:dyDescent="0.3">
      <c r="A12">
        <v>11</v>
      </c>
      <c r="B12" s="1">
        <v>44958</v>
      </c>
      <c r="C12" s="10">
        <v>1131</v>
      </c>
      <c r="D12" s="3">
        <f t="shared" si="4"/>
        <v>1119.25</v>
      </c>
      <c r="E12" s="3">
        <f t="shared" si="5"/>
        <v>1092.4166666666665</v>
      </c>
      <c r="F12" s="3">
        <f t="shared" si="6"/>
        <v>1.0353192463193228</v>
      </c>
      <c r="G12" s="3">
        <v>102.32026446914729</v>
      </c>
      <c r="H12" s="3">
        <f t="shared" si="1"/>
        <v>1105.3528896429225</v>
      </c>
      <c r="I12" s="3">
        <f t="shared" si="0"/>
        <v>1023.845</v>
      </c>
      <c r="J12" s="3">
        <f t="shared" si="2"/>
        <v>1047.6009117541412</v>
      </c>
      <c r="K12" s="3">
        <f t="shared" si="3"/>
        <v>7.373924690173193</v>
      </c>
    </row>
    <row r="13" spans="1:11" x14ac:dyDescent="0.3">
      <c r="A13">
        <v>12</v>
      </c>
      <c r="B13" s="1">
        <v>44986</v>
      </c>
      <c r="C13" s="10">
        <v>1184</v>
      </c>
      <c r="D13" s="3">
        <f t="shared" si="4"/>
        <v>1158.8333333333333</v>
      </c>
      <c r="E13" s="3">
        <f t="shared" si="5"/>
        <v>1139.0416666666665</v>
      </c>
      <c r="F13" s="3">
        <f t="shared" si="6"/>
        <v>1.0394703149577498</v>
      </c>
      <c r="G13" s="3">
        <v>103.1229178934142</v>
      </c>
      <c r="H13" s="3">
        <f t="shared" si="1"/>
        <v>1148.1443932994205</v>
      </c>
      <c r="I13" s="3">
        <f t="shared" si="0"/>
        <v>1048.1300000000001</v>
      </c>
      <c r="J13" s="3">
        <f t="shared" si="2"/>
        <v>1080.8622393162423</v>
      </c>
      <c r="K13" s="3">
        <f t="shared" si="3"/>
        <v>8.7109595172092682</v>
      </c>
    </row>
    <row r="14" spans="1:11" x14ac:dyDescent="0.3">
      <c r="A14">
        <v>13</v>
      </c>
      <c r="B14" s="1">
        <v>45017</v>
      </c>
      <c r="C14" s="10">
        <v>1163</v>
      </c>
      <c r="D14" s="3">
        <f t="shared" si="4"/>
        <v>1185.6666666666667</v>
      </c>
      <c r="E14" s="3">
        <f t="shared" si="5"/>
        <v>1172.25</v>
      </c>
      <c r="F14" s="3">
        <f t="shared" si="6"/>
        <v>0.99210919172531442</v>
      </c>
      <c r="G14" s="3">
        <v>100.0694572442768</v>
      </c>
      <c r="H14" s="3">
        <f t="shared" si="1"/>
        <v>1162.1927729267409</v>
      </c>
      <c r="I14" s="3">
        <f t="shared" si="0"/>
        <v>1072.415</v>
      </c>
      <c r="J14" s="3">
        <f t="shared" si="2"/>
        <v>1073.159869906211</v>
      </c>
      <c r="K14" s="3">
        <f t="shared" si="3"/>
        <v>7.7248607131374856</v>
      </c>
    </row>
    <row r="15" spans="1:11" x14ac:dyDescent="0.3">
      <c r="A15">
        <v>14</v>
      </c>
      <c r="B15" s="1">
        <v>45047</v>
      </c>
      <c r="C15" s="10">
        <v>1147</v>
      </c>
      <c r="D15" s="3">
        <f t="shared" si="4"/>
        <v>1211.75</v>
      </c>
      <c r="E15" s="3">
        <f t="shared" si="5"/>
        <v>1198.7083333333335</v>
      </c>
      <c r="F15" s="3">
        <f t="shared" si="6"/>
        <v>0.95686329034724882</v>
      </c>
      <c r="G15" s="3">
        <v>94.787101846183702</v>
      </c>
      <c r="H15" s="3">
        <f t="shared" si="1"/>
        <v>1210.0802510675985</v>
      </c>
      <c r="I15" s="3">
        <f t="shared" si="0"/>
        <v>1096.7</v>
      </c>
      <c r="J15" s="3">
        <f t="shared" si="2"/>
        <v>1039.5301459470968</v>
      </c>
      <c r="K15" s="3">
        <f t="shared" si="3"/>
        <v>9.3696472583176291</v>
      </c>
    </row>
    <row r="16" spans="1:11" x14ac:dyDescent="0.3">
      <c r="A16">
        <v>15</v>
      </c>
      <c r="B16" s="1">
        <v>45078</v>
      </c>
      <c r="C16" s="10">
        <v>1219</v>
      </c>
      <c r="D16" s="3">
        <f t="shared" si="4"/>
        <v>1234.6666666666667</v>
      </c>
      <c r="E16" s="3">
        <f t="shared" si="5"/>
        <v>1223.2083333333335</v>
      </c>
      <c r="F16" s="3">
        <f t="shared" si="6"/>
        <v>0.99655959396396065</v>
      </c>
      <c r="G16" s="3">
        <v>97.25746223941195</v>
      </c>
      <c r="H16" s="3">
        <f t="shared" si="1"/>
        <v>1253.3742624285962</v>
      </c>
      <c r="I16" s="3">
        <f t="shared" si="0"/>
        <v>1120.9850000000001</v>
      </c>
      <c r="J16" s="3">
        <f t="shared" si="2"/>
        <v>1090.2415630844721</v>
      </c>
      <c r="K16" s="3">
        <f t="shared" si="3"/>
        <v>10.562628130888262</v>
      </c>
    </row>
    <row r="17" spans="1:11" x14ac:dyDescent="0.3">
      <c r="A17">
        <v>16</v>
      </c>
      <c r="B17" s="1">
        <v>45108</v>
      </c>
      <c r="C17" s="10">
        <v>1242</v>
      </c>
      <c r="D17" s="3">
        <f t="shared" si="4"/>
        <v>1261.5</v>
      </c>
      <c r="E17" s="3">
        <f t="shared" si="5"/>
        <v>1248.0833333333335</v>
      </c>
      <c r="F17" s="3">
        <f t="shared" si="6"/>
        <v>0.99512585965146561</v>
      </c>
      <c r="G17" s="3">
        <v>95.397286596010289</v>
      </c>
      <c r="H17" s="3">
        <f t="shared" si="1"/>
        <v>1301.9238222777115</v>
      </c>
      <c r="I17" s="3">
        <f t="shared" si="0"/>
        <v>1145.27</v>
      </c>
      <c r="J17" s="3">
        <f t="shared" si="2"/>
        <v>1092.5565041981272</v>
      </c>
      <c r="K17" s="3">
        <f t="shared" si="3"/>
        <v>12.032487584691854</v>
      </c>
    </row>
    <row r="18" spans="1:11" x14ac:dyDescent="0.3">
      <c r="A18">
        <v>17</v>
      </c>
      <c r="B18" s="1">
        <v>45139</v>
      </c>
      <c r="C18" s="10">
        <v>1293</v>
      </c>
      <c r="D18" s="3">
        <f t="shared" si="4"/>
        <v>1288.25</v>
      </c>
      <c r="E18" s="3">
        <f t="shared" si="5"/>
        <v>1274.875</v>
      </c>
      <c r="F18" s="3">
        <f t="shared" si="6"/>
        <v>1.0142170801058927</v>
      </c>
      <c r="G18" s="3">
        <v>103.32601832089622</v>
      </c>
      <c r="H18" s="3">
        <f t="shared" si="1"/>
        <v>1251.3789082478456</v>
      </c>
      <c r="I18" s="3">
        <f t="shared" si="0"/>
        <v>1169.5550000000001</v>
      </c>
      <c r="J18" s="3">
        <f t="shared" si="2"/>
        <v>1208.4546135729579</v>
      </c>
      <c r="K18" s="3">
        <f t="shared" si="3"/>
        <v>6.5386996463296292</v>
      </c>
    </row>
    <row r="19" spans="1:11" x14ac:dyDescent="0.3">
      <c r="A19">
        <v>18</v>
      </c>
      <c r="B19" s="1">
        <v>45170</v>
      </c>
      <c r="C19" s="10">
        <v>1274</v>
      </c>
      <c r="D19" s="3">
        <f t="shared" si="4"/>
        <v>1312.5833333333333</v>
      </c>
      <c r="E19" s="3">
        <f t="shared" si="5"/>
        <v>1300.4166666666665</v>
      </c>
      <c r="F19" s="3">
        <f t="shared" si="6"/>
        <v>0.97968599807753931</v>
      </c>
      <c r="G19" s="3">
        <v>88.192441913109462</v>
      </c>
      <c r="H19" s="3">
        <f t="shared" si="1"/>
        <v>1444.5682332451947</v>
      </c>
      <c r="I19" s="3">
        <f t="shared" si="0"/>
        <v>1193.8400000000001</v>
      </c>
      <c r="J19" s="3">
        <f t="shared" si="2"/>
        <v>1052.8766485354661</v>
      </c>
      <c r="K19" s="3">
        <f t="shared" si="3"/>
        <v>17.356620994076447</v>
      </c>
    </row>
    <row r="20" spans="1:11" x14ac:dyDescent="0.3">
      <c r="A20">
        <v>19</v>
      </c>
      <c r="B20" s="1">
        <v>45200</v>
      </c>
      <c r="C20" s="10">
        <v>1328</v>
      </c>
      <c r="D20" s="3">
        <f t="shared" si="4"/>
        <v>1336.5833333333333</v>
      </c>
      <c r="E20" s="3">
        <f t="shared" si="5"/>
        <v>1324.5833333333333</v>
      </c>
      <c r="F20" s="3">
        <f t="shared" si="6"/>
        <v>1.0025794274929223</v>
      </c>
      <c r="G20" s="3">
        <v>104.53212849686643</v>
      </c>
      <c r="H20" s="3">
        <f t="shared" si="1"/>
        <v>1270.4228059795123</v>
      </c>
      <c r="I20" s="3">
        <f t="shared" si="0"/>
        <v>1218.125</v>
      </c>
      <c r="J20" s="3">
        <f t="shared" si="2"/>
        <v>1273.3319902524543</v>
      </c>
      <c r="K20" s="3">
        <f t="shared" si="3"/>
        <v>4.1165669990621785</v>
      </c>
    </row>
    <row r="21" spans="1:11" x14ac:dyDescent="0.3">
      <c r="A21">
        <v>20</v>
      </c>
      <c r="B21" s="1">
        <v>45231</v>
      </c>
      <c r="C21" s="10">
        <v>1381</v>
      </c>
      <c r="D21" s="3">
        <f t="shared" si="4"/>
        <v>1354.25</v>
      </c>
      <c r="E21" s="3">
        <f t="shared" si="5"/>
        <v>1345.4166666666665</v>
      </c>
      <c r="F21" s="3">
        <f t="shared" si="6"/>
        <v>1.0264478166615052</v>
      </c>
      <c r="G21" s="3">
        <v>106.20540240723975</v>
      </c>
      <c r="H21" s="3">
        <f t="shared" si="1"/>
        <v>1300.3105008769883</v>
      </c>
      <c r="I21" s="3">
        <f t="shared" si="0"/>
        <v>1242.4100000000001</v>
      </c>
      <c r="J21" s="3">
        <f t="shared" si="2"/>
        <v>1319.5065400477874</v>
      </c>
      <c r="K21" s="3">
        <f t="shared" si="3"/>
        <v>4.4528211406381288</v>
      </c>
    </row>
    <row r="22" spans="1:11" x14ac:dyDescent="0.3">
      <c r="A22">
        <v>21</v>
      </c>
      <c r="B22" s="1">
        <v>45261</v>
      </c>
      <c r="C22" s="10">
        <v>1357</v>
      </c>
      <c r="D22" s="3">
        <f t="shared" si="4"/>
        <v>1368.6666666666667</v>
      </c>
      <c r="E22" s="3">
        <f t="shared" si="5"/>
        <v>1361.4583333333335</v>
      </c>
      <c r="F22" s="3">
        <f t="shared" si="6"/>
        <v>0.99672532517214985</v>
      </c>
      <c r="G22" s="3">
        <v>102.43601620282448</v>
      </c>
      <c r="H22" s="3">
        <f t="shared" si="1"/>
        <v>1324.72937771528</v>
      </c>
      <c r="I22" s="3">
        <f t="shared" si="0"/>
        <v>1266.6950000000002</v>
      </c>
      <c r="J22" s="3">
        <f t="shared" si="2"/>
        <v>1297.5518954403676</v>
      </c>
      <c r="K22" s="3">
        <f t="shared" si="3"/>
        <v>4.3808477936354002</v>
      </c>
    </row>
    <row r="23" spans="1:11" x14ac:dyDescent="0.3">
      <c r="A23">
        <v>22</v>
      </c>
      <c r="B23" s="1">
        <v>45292</v>
      </c>
      <c r="C23" s="10">
        <v>1419</v>
      </c>
      <c r="D23" s="3">
        <f t="shared" si="4"/>
        <v>1377.5833333333333</v>
      </c>
      <c r="E23" s="3">
        <f t="shared" si="5"/>
        <v>1373.125</v>
      </c>
      <c r="F23" s="3">
        <f t="shared" si="6"/>
        <v>1.0334091943559398</v>
      </c>
      <c r="G23" s="3">
        <v>102.3535023706194</v>
      </c>
      <c r="H23" s="3">
        <f t="shared" si="1"/>
        <v>1386.3717089639372</v>
      </c>
      <c r="I23" s="3">
        <f t="shared" si="0"/>
        <v>1290.98</v>
      </c>
      <c r="J23" s="3">
        <f t="shared" si="2"/>
        <v>1321.3632449042225</v>
      </c>
      <c r="K23" s="3">
        <f t="shared" si="3"/>
        <v>6.8806733682718475</v>
      </c>
    </row>
    <row r="24" spans="1:11" x14ac:dyDescent="0.3">
      <c r="A24">
        <v>23</v>
      </c>
      <c r="B24" s="1">
        <v>45323</v>
      </c>
      <c r="C24" s="10">
        <v>1452</v>
      </c>
      <c r="D24" s="3">
        <f t="shared" si="4"/>
        <v>1399.5833333333333</v>
      </c>
      <c r="E24" s="3">
        <f t="shared" si="5"/>
        <v>1388.5833333333333</v>
      </c>
      <c r="F24" s="3">
        <f t="shared" si="6"/>
        <v>1.0456700474104303</v>
      </c>
      <c r="G24" s="3">
        <v>102.32026446914729</v>
      </c>
      <c r="H24" s="3">
        <f t="shared" si="1"/>
        <v>1419.0737363055025</v>
      </c>
      <c r="I24" s="3">
        <f t="shared" si="0"/>
        <v>1315.2649999999999</v>
      </c>
      <c r="J24" s="3">
        <f t="shared" si="2"/>
        <v>1345.78262647013</v>
      </c>
      <c r="K24" s="3">
        <f t="shared" si="3"/>
        <v>7.3152461108725877</v>
      </c>
    </row>
    <row r="25" spans="1:11" x14ac:dyDescent="0.3">
      <c r="A25">
        <v>24</v>
      </c>
      <c r="B25" s="1">
        <v>45352</v>
      </c>
      <c r="C25" s="10">
        <v>1476</v>
      </c>
      <c r="D25" s="3">
        <f t="shared" si="4"/>
        <v>1391</v>
      </c>
      <c r="E25" s="3">
        <f t="shared" si="5"/>
        <v>1395.2916666666665</v>
      </c>
      <c r="F25" s="3">
        <f t="shared" si="6"/>
        <v>1.0578433421924927</v>
      </c>
      <c r="G25" s="3">
        <v>103.1229178934142</v>
      </c>
      <c r="H25" s="3">
        <f t="shared" si="1"/>
        <v>1431.3016254306965</v>
      </c>
      <c r="I25" s="3">
        <f t="shared" si="0"/>
        <v>1339.5500000000002</v>
      </c>
      <c r="J25" s="3">
        <f t="shared" si="2"/>
        <v>1381.3830466412301</v>
      </c>
      <c r="K25" s="3">
        <f t="shared" si="3"/>
        <v>6.4103626936835996</v>
      </c>
    </row>
    <row r="26" spans="1:11" x14ac:dyDescent="0.3">
      <c r="A26">
        <v>25</v>
      </c>
      <c r="B26" s="1">
        <v>45383</v>
      </c>
      <c r="C26" s="10">
        <v>1451</v>
      </c>
      <c r="D26" s="3">
        <f t="shared" si="4"/>
        <v>1391.0833333333333</v>
      </c>
      <c r="E26" s="3">
        <f t="shared" si="5"/>
        <v>1391.0416666666665</v>
      </c>
      <c r="F26" s="3">
        <f t="shared" si="6"/>
        <v>1.0431031900554142</v>
      </c>
      <c r="G26" s="3">
        <v>100.0694572442768</v>
      </c>
      <c r="H26" s="3">
        <f t="shared" si="1"/>
        <v>1449.9928749068797</v>
      </c>
      <c r="I26" s="3">
        <f t="shared" si="0"/>
        <v>1363.835</v>
      </c>
      <c r="J26" s="3">
        <f t="shared" si="2"/>
        <v>1364.7822822074825</v>
      </c>
      <c r="K26" s="3">
        <f t="shared" si="3"/>
        <v>5.9419516052734345</v>
      </c>
    </row>
    <row r="27" spans="1:11" x14ac:dyDescent="0.3">
      <c r="A27">
        <v>26</v>
      </c>
      <c r="B27" s="1">
        <v>45413</v>
      </c>
      <c r="C27" s="10">
        <v>1359</v>
      </c>
      <c r="D27" s="3">
        <f t="shared" si="4"/>
        <v>1408.3333333333333</v>
      </c>
      <c r="E27" s="3">
        <f t="shared" si="5"/>
        <v>1399.7083333333333</v>
      </c>
      <c r="F27" s="3">
        <f t="shared" si="6"/>
        <v>0.9709165599976185</v>
      </c>
      <c r="G27" s="3">
        <v>94.787101846183702</v>
      </c>
      <c r="H27" s="3">
        <f t="shared" si="1"/>
        <v>1433.739373322464</v>
      </c>
      <c r="I27" s="3">
        <f t="shared" si="0"/>
        <v>1388.12</v>
      </c>
      <c r="J27" s="3">
        <f t="shared" si="2"/>
        <v>1315.7587181472452</v>
      </c>
      <c r="K27" s="3">
        <f t="shared" si="3"/>
        <v>3.1818456109459019</v>
      </c>
    </row>
    <row r="28" spans="1:11" x14ac:dyDescent="0.3">
      <c r="A28">
        <v>27</v>
      </c>
      <c r="B28" s="1">
        <v>45444</v>
      </c>
      <c r="C28" s="10">
        <v>1392</v>
      </c>
      <c r="D28" s="3">
        <f t="shared" si="4"/>
        <v>1428.25</v>
      </c>
      <c r="E28" s="3">
        <f t="shared" si="5"/>
        <v>1418.2916666666665</v>
      </c>
      <c r="F28" s="3">
        <f t="shared" si="6"/>
        <v>0.98146244014218997</v>
      </c>
      <c r="G28" s="3">
        <v>97.25746223941195</v>
      </c>
      <c r="H28" s="3">
        <f t="shared" si="1"/>
        <v>1431.2526442170681</v>
      </c>
      <c r="I28" s="3">
        <f t="shared" si="0"/>
        <v>1412.4050000000002</v>
      </c>
      <c r="J28" s="3">
        <f t="shared" si="2"/>
        <v>1373.6692595425664</v>
      </c>
      <c r="K28" s="3">
        <f t="shared" si="3"/>
        <v>1.3168635386087391</v>
      </c>
    </row>
    <row r="29" spans="1:11" x14ac:dyDescent="0.3">
      <c r="A29">
        <v>28</v>
      </c>
      <c r="B29" s="1">
        <v>45474</v>
      </c>
      <c r="C29" s="10">
        <v>1349</v>
      </c>
      <c r="D29" s="3">
        <f t="shared" si="4"/>
        <v>1426.5833333333333</v>
      </c>
      <c r="E29" s="3">
        <f t="shared" si="5"/>
        <v>1427.4166666666665</v>
      </c>
      <c r="F29" s="3">
        <f t="shared" si="6"/>
        <v>0.94506392667406158</v>
      </c>
      <c r="G29" s="3">
        <v>95.397286596010289</v>
      </c>
      <c r="H29" s="3">
        <f t="shared" si="1"/>
        <v>1414.0863415882711</v>
      </c>
      <c r="I29" s="3">
        <f t="shared" si="0"/>
        <v>1436.69</v>
      </c>
      <c r="J29" s="3">
        <f t="shared" si="2"/>
        <v>1370.5632767962202</v>
      </c>
      <c r="K29" s="3">
        <f t="shared" si="3"/>
        <v>1.5984638099496056</v>
      </c>
    </row>
    <row r="30" spans="1:11" x14ac:dyDescent="0.3">
      <c r="A30">
        <v>29</v>
      </c>
      <c r="B30" s="1">
        <v>45505</v>
      </c>
      <c r="C30" s="10">
        <v>1557</v>
      </c>
      <c r="D30" s="3">
        <f t="shared" si="4"/>
        <v>1437.5833333333333</v>
      </c>
      <c r="E30" s="3">
        <f t="shared" si="5"/>
        <v>1432.0833333333333</v>
      </c>
      <c r="F30" s="3">
        <f t="shared" si="6"/>
        <v>1.0872272330520805</v>
      </c>
      <c r="G30" s="3">
        <v>103.32601832089622</v>
      </c>
      <c r="H30" s="3">
        <f t="shared" si="1"/>
        <v>1506.8808663123707</v>
      </c>
      <c r="I30" s="3">
        <f t="shared" si="0"/>
        <v>1460.9749999999999</v>
      </c>
      <c r="J30" s="3">
        <f t="shared" si="2"/>
        <v>1509.5672961637135</v>
      </c>
      <c r="K30" s="3">
        <f t="shared" si="3"/>
        <v>3.0464164313607234</v>
      </c>
    </row>
    <row r="31" spans="1:11" x14ac:dyDescent="0.3">
      <c r="A31">
        <v>30</v>
      </c>
      <c r="B31" s="1">
        <v>45536</v>
      </c>
      <c r="C31" s="10">
        <v>1171</v>
      </c>
      <c r="D31" s="3">
        <f t="shared" si="4"/>
        <v>1439.6666666666667</v>
      </c>
      <c r="E31" s="3">
        <f t="shared" si="5"/>
        <v>1438.625</v>
      </c>
      <c r="F31" s="3">
        <f t="shared" si="6"/>
        <v>0.8139716743418195</v>
      </c>
      <c r="G31" s="3">
        <v>88.192441913109462</v>
      </c>
      <c r="H31" s="3">
        <f t="shared" si="1"/>
        <v>1327.77817985096</v>
      </c>
      <c r="I31" s="3">
        <f t="shared" si="0"/>
        <v>1485.26</v>
      </c>
      <c r="J31" s="3">
        <f t="shared" si="2"/>
        <v>1309.8870627586496</v>
      </c>
      <c r="K31" s="3">
        <f t="shared" si="3"/>
        <v>11.860551900824044</v>
      </c>
    </row>
    <row r="32" spans="1:11" x14ac:dyDescent="0.3">
      <c r="A32">
        <v>31</v>
      </c>
      <c r="B32" s="1">
        <v>45566</v>
      </c>
      <c r="C32" s="10">
        <v>1329</v>
      </c>
      <c r="E32" s="3"/>
      <c r="F32" s="3"/>
      <c r="G32" s="3">
        <v>104.53212849686643</v>
      </c>
      <c r="H32" s="3">
        <f t="shared" si="1"/>
        <v>1271.3794496587138</v>
      </c>
      <c r="I32" s="3">
        <f t="shared" si="0"/>
        <v>1509.5450000000001</v>
      </c>
      <c r="J32" s="3">
        <f t="shared" si="2"/>
        <v>1577.9595191180226</v>
      </c>
      <c r="K32" s="3">
        <f t="shared" si="3"/>
        <v>18.732845682319237</v>
      </c>
    </row>
    <row r="33" spans="1:11" x14ac:dyDescent="0.3">
      <c r="A33">
        <v>32</v>
      </c>
      <c r="B33" s="1">
        <v>45597</v>
      </c>
      <c r="C33" s="10">
        <v>1588</v>
      </c>
      <c r="G33" s="3">
        <v>106.20540240723975</v>
      </c>
      <c r="H33" s="3">
        <f t="shared" si="1"/>
        <v>1495.2158402553637</v>
      </c>
      <c r="I33" s="3">
        <f t="shared" si="0"/>
        <v>1533.83</v>
      </c>
      <c r="J33" s="3">
        <f t="shared" si="2"/>
        <v>1629.0103237429655</v>
      </c>
      <c r="K33" s="3">
        <f t="shared" si="3"/>
        <v>2.5825140896073999</v>
      </c>
    </row>
    <row r="34" spans="1:11" x14ac:dyDescent="0.3">
      <c r="A34">
        <v>33</v>
      </c>
      <c r="B34" s="1">
        <v>45627</v>
      </c>
      <c r="C34" s="10">
        <v>1596</v>
      </c>
      <c r="G34" s="3">
        <v>102.43601620282448</v>
      </c>
      <c r="H34" s="3">
        <f t="shared" si="1"/>
        <v>1558.0457530092754</v>
      </c>
      <c r="I34" s="3">
        <f t="shared" si="0"/>
        <v>1558.115</v>
      </c>
      <c r="J34" s="3">
        <f t="shared" si="2"/>
        <v>1596.0709338586385</v>
      </c>
      <c r="K34" s="3">
        <f t="shared" si="3"/>
        <v>4.444477358299166E-3</v>
      </c>
    </row>
    <row r="35" spans="1:11" x14ac:dyDescent="0.3">
      <c r="A35">
        <v>34</v>
      </c>
      <c r="B35" s="1">
        <v>45658</v>
      </c>
      <c r="C35" s="10">
        <v>1399</v>
      </c>
      <c r="G35" s="3">
        <v>102.3535023706194</v>
      </c>
      <c r="H35" s="3">
        <f t="shared" si="1"/>
        <v>1366.8315862160312</v>
      </c>
      <c r="I35" s="3">
        <f t="shared" si="0"/>
        <v>1582.4</v>
      </c>
      <c r="J35" s="3">
        <f t="shared" si="2"/>
        <v>1619.6418215126814</v>
      </c>
      <c r="K35" s="3">
        <f t="shared" si="3"/>
        <v>15.771395390470438</v>
      </c>
    </row>
    <row r="36" spans="1:11" x14ac:dyDescent="0.3">
      <c r="A36">
        <v>35</v>
      </c>
      <c r="B36" s="1">
        <v>45689</v>
      </c>
      <c r="C36" s="10">
        <v>1584</v>
      </c>
      <c r="G36" s="3">
        <v>102.32026446914729</v>
      </c>
      <c r="H36" s="3">
        <f t="shared" si="1"/>
        <v>1548.0804396060028</v>
      </c>
      <c r="I36" s="3">
        <f t="shared" si="0"/>
        <v>1606.6849999999999</v>
      </c>
      <c r="J36" s="3">
        <f t="shared" si="2"/>
        <v>1643.9643411861191</v>
      </c>
      <c r="K36" s="3">
        <f t="shared" si="3"/>
        <v>3.7856276001337812</v>
      </c>
    </row>
    <row r="37" spans="1:11" x14ac:dyDescent="0.3">
      <c r="A37">
        <v>36</v>
      </c>
      <c r="B37" s="1">
        <v>45717</v>
      </c>
      <c r="C37" s="10">
        <v>1501</v>
      </c>
      <c r="G37" s="3">
        <v>103.1229178934142</v>
      </c>
      <c r="H37" s="3">
        <f t="shared" si="1"/>
        <v>1455.544539140566</v>
      </c>
      <c r="I37" s="3">
        <f t="shared" si="0"/>
        <v>1630.97</v>
      </c>
      <c r="J37" s="3">
        <f t="shared" si="2"/>
        <v>1681.9038539662174</v>
      </c>
      <c r="K37" s="3">
        <f t="shared" si="3"/>
        <v>12.052222116336935</v>
      </c>
    </row>
    <row r="38" spans="1:11" x14ac:dyDescent="0.3">
      <c r="B38" s="1"/>
      <c r="G38" s="3"/>
      <c r="I38" s="3"/>
      <c r="J38" s="3"/>
    </row>
    <row r="39" spans="1:11" x14ac:dyDescent="0.3">
      <c r="B39" s="1"/>
      <c r="G39" s="3"/>
      <c r="I39" s="3"/>
      <c r="J39" s="3"/>
    </row>
    <row r="40" spans="1:11" x14ac:dyDescent="0.3">
      <c r="B40" s="1"/>
      <c r="G40" s="3"/>
      <c r="I40" s="3"/>
      <c r="J40" s="3"/>
    </row>
    <row r="41" spans="1:11" x14ac:dyDescent="0.3">
      <c r="B41" s="1"/>
      <c r="G41" s="3"/>
      <c r="I41" s="3"/>
      <c r="J41" s="3"/>
    </row>
    <row r="42" spans="1:11" x14ac:dyDescent="0.3">
      <c r="B42" s="1"/>
      <c r="G42" s="3"/>
      <c r="I42" s="3"/>
      <c r="J42" s="3"/>
    </row>
    <row r="43" spans="1:11" x14ac:dyDescent="0.3">
      <c r="B43" s="1"/>
      <c r="G43" s="3"/>
      <c r="I43" s="3"/>
      <c r="J43" s="3"/>
    </row>
    <row r="44" spans="1:11" x14ac:dyDescent="0.3">
      <c r="B44" s="1"/>
      <c r="G44" s="3"/>
      <c r="I44" s="3"/>
      <c r="J44" s="3"/>
    </row>
    <row r="45" spans="1:11" x14ac:dyDescent="0.3">
      <c r="B45" s="1"/>
      <c r="G45" s="3"/>
      <c r="I45" s="3"/>
      <c r="J45" s="3"/>
    </row>
    <row r="46" spans="1:11" x14ac:dyDescent="0.3">
      <c r="B46" s="1"/>
      <c r="G46" s="3"/>
      <c r="I46" s="3"/>
      <c r="J46" s="3"/>
    </row>
    <row r="47" spans="1:11" x14ac:dyDescent="0.3">
      <c r="B47" s="1"/>
      <c r="G47" s="3"/>
      <c r="I47" s="3"/>
      <c r="J47" s="3"/>
    </row>
    <row r="48" spans="1:11" x14ac:dyDescent="0.3">
      <c r="B48" s="1"/>
      <c r="G48" s="3"/>
      <c r="I48" s="3"/>
      <c r="J48" s="3"/>
    </row>
    <row r="49" spans="2:10" x14ac:dyDescent="0.3">
      <c r="B49" s="1"/>
      <c r="G49" s="3"/>
      <c r="I49" s="3"/>
      <c r="J49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Sheet3</vt:lpstr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Jindal</dc:creator>
  <cp:lastModifiedBy>Vansh Jindal</cp:lastModifiedBy>
  <cp:lastPrinted>2025-04-04T14:59:03Z</cp:lastPrinted>
  <dcterms:created xsi:type="dcterms:W3CDTF">2025-03-16T13:32:04Z</dcterms:created>
  <dcterms:modified xsi:type="dcterms:W3CDTF">2025-05-06T18:15:41Z</dcterms:modified>
</cp:coreProperties>
</file>
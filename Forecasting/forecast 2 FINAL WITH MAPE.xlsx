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c58045ead3d6d/Desktop/Forecasting/"/>
    </mc:Choice>
  </mc:AlternateContent>
  <xr:revisionPtr revIDLastSave="262" documentId="8_{84F79582-9A39-4B75-8A8B-96640465CF13}" xr6:coauthVersionLast="47" xr6:coauthVersionMax="47" xr10:uidLastSave="{AF8EF279-48F8-498A-B7AE-DC82552DF182}"/>
  <bookViews>
    <workbookView xWindow="11424" yWindow="0" windowWidth="11712" windowHeight="12336" firstSheet="3" activeTab="3" xr2:uid="{7BBAFB2E-136E-4C2C-98A4-82304FF857B6}"/>
  </bookViews>
  <sheets>
    <sheet name="Sheet1" sheetId="1" r:id="rId1"/>
    <sheet name="Sheet4" sheetId="4" r:id="rId2"/>
    <sheet name="Sheet3" sheetId="3" r:id="rId3"/>
    <sheet name="Sheet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F5" i="5"/>
  <c r="F22" i="5"/>
  <c r="F21" i="5"/>
  <c r="J71" i="3" l="1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29" i="3"/>
  <c r="J24" i="3" l="1"/>
  <c r="K24" i="3" s="1"/>
  <c r="J29" i="3"/>
  <c r="K29" i="3" s="1"/>
  <c r="J39" i="3"/>
  <c r="K39" i="3" s="1"/>
  <c r="J40" i="3"/>
  <c r="K40" i="3" s="1"/>
  <c r="J42" i="3"/>
  <c r="K42" i="3" s="1"/>
  <c r="J43" i="3"/>
  <c r="K43" i="3" s="1"/>
  <c r="J44" i="3"/>
  <c r="K44" i="3" s="1"/>
  <c r="J45" i="3"/>
  <c r="K45" i="3" s="1"/>
  <c r="J51" i="3"/>
  <c r="K51" i="3" s="1"/>
  <c r="J52" i="3"/>
  <c r="K52" i="3" s="1"/>
  <c r="J53" i="3"/>
  <c r="K53" i="3" s="1"/>
  <c r="J54" i="3"/>
  <c r="K54" i="3" s="1"/>
  <c r="J55" i="3"/>
  <c r="K55" i="3" s="1"/>
  <c r="J56" i="3"/>
  <c r="K56" i="3" s="1"/>
  <c r="J57" i="3"/>
  <c r="K57" i="3" s="1"/>
  <c r="J58" i="3"/>
  <c r="K58" i="3" s="1"/>
  <c r="J59" i="3"/>
  <c r="K59" i="3" s="1"/>
  <c r="J60" i="3"/>
  <c r="J61" i="3"/>
  <c r="J32" i="3"/>
  <c r="K32" i="3" s="1"/>
  <c r="J34" i="3"/>
  <c r="K34" i="3" s="1"/>
  <c r="J35" i="3"/>
  <c r="K35" i="3" s="1"/>
  <c r="J36" i="3"/>
  <c r="K36" i="3" s="1"/>
  <c r="J37" i="3"/>
  <c r="K37" i="3" s="1"/>
  <c r="J38" i="3"/>
  <c r="K38" i="3" s="1"/>
  <c r="J68" i="3"/>
  <c r="J69" i="3"/>
  <c r="J70" i="3"/>
  <c r="H30" i="3"/>
  <c r="H26" i="3"/>
  <c r="H25" i="3"/>
  <c r="H35" i="3"/>
  <c r="H31" i="3"/>
  <c r="H28" i="3"/>
  <c r="H27" i="3"/>
  <c r="J63" i="3"/>
  <c r="J65" i="3"/>
  <c r="J66" i="3"/>
  <c r="J67" i="3"/>
  <c r="J41" i="3"/>
  <c r="K41" i="3" s="1"/>
  <c r="J64" i="3"/>
  <c r="J11" i="3"/>
  <c r="J10" i="3"/>
  <c r="J30" i="3"/>
  <c r="K30" i="3" s="1"/>
  <c r="J31" i="3"/>
  <c r="K31" i="3" s="1"/>
  <c r="H32" i="3"/>
  <c r="H33" i="3"/>
  <c r="H34" i="3"/>
  <c r="J46" i="3"/>
  <c r="K46" i="3" s="1"/>
  <c r="J47" i="3"/>
  <c r="K47" i="3" s="1"/>
  <c r="J48" i="3"/>
  <c r="K48" i="3" s="1"/>
  <c r="J49" i="3"/>
  <c r="K49" i="3" s="1"/>
  <c r="J50" i="3"/>
  <c r="K50" i="3" s="1"/>
  <c r="J62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L4" i="3"/>
  <c r="L5" i="3"/>
  <c r="L6" i="3"/>
  <c r="L7" i="3"/>
  <c r="L8" i="3"/>
  <c r="L3" i="3"/>
  <c r="K4" i="3"/>
  <c r="K5" i="3"/>
  <c r="K6" i="3"/>
  <c r="K7" i="3"/>
  <c r="K8" i="3"/>
  <c r="K9" i="3"/>
  <c r="K10" i="3"/>
  <c r="K11" i="3"/>
  <c r="K12" i="3"/>
  <c r="K13" i="3"/>
  <c r="K14" i="3"/>
  <c r="K3" i="3"/>
  <c r="J12" i="3"/>
  <c r="J13" i="3"/>
  <c r="J14" i="3"/>
  <c r="J9" i="3"/>
  <c r="F37" i="3"/>
  <c r="F39" i="3"/>
  <c r="F41" i="3"/>
  <c r="H29" i="3" l="1"/>
  <c r="J33" i="3"/>
  <c r="K33" i="3" s="1"/>
  <c r="H24" i="3"/>
  <c r="J25" i="3"/>
  <c r="K25" i="3" s="1"/>
  <c r="J27" i="3"/>
  <c r="K27" i="3" s="1"/>
  <c r="J26" i="3"/>
  <c r="K26" i="3" s="1"/>
  <c r="J28" i="3"/>
  <c r="K28" i="3" s="1"/>
  <c r="F38" i="3"/>
  <c r="M13" i="3"/>
  <c r="M12" i="3"/>
  <c r="M8" i="3"/>
  <c r="M11" i="3"/>
  <c r="M7" i="3"/>
  <c r="M10" i="3"/>
  <c r="M5" i="3"/>
  <c r="M14" i="3"/>
  <c r="M6" i="3"/>
  <c r="M3" i="3"/>
  <c r="M4" i="3"/>
  <c r="M9" i="3"/>
  <c r="F42" i="3"/>
  <c r="F40" i="3"/>
  <c r="F44" i="3"/>
  <c r="F53" i="3"/>
  <c r="F36" i="3"/>
  <c r="F35" i="3"/>
  <c r="F52" i="3"/>
  <c r="F51" i="3"/>
  <c r="F30" i="3"/>
  <c r="F43" i="3"/>
  <c r="F34" i="3"/>
  <c r="F33" i="3"/>
  <c r="F47" i="3"/>
  <c r="F46" i="3"/>
  <c r="F50" i="3"/>
  <c r="F49" i="3"/>
  <c r="F48" i="3"/>
  <c r="F45" i="3"/>
  <c r="F32" i="3"/>
  <c r="F31" i="3"/>
  <c r="M15" i="3" l="1"/>
  <c r="N9" i="3" s="1"/>
  <c r="K72" i="3"/>
  <c r="N3" i="3" l="1"/>
  <c r="N4" i="3"/>
  <c r="N5" i="3"/>
  <c r="N6" i="3"/>
  <c r="N7" i="3"/>
  <c r="N8" i="3"/>
  <c r="N13" i="3"/>
  <c r="N12" i="3"/>
  <c r="N11" i="3"/>
  <c r="N10" i="3"/>
  <c r="N14" i="3"/>
</calcChain>
</file>

<file path=xl/sharedStrings.xml><?xml version="1.0" encoding="utf-8"?>
<sst xmlns="http://schemas.openxmlformats.org/spreadsheetml/2006/main" count="88" uniqueCount="57">
  <si>
    <t>Month</t>
  </si>
  <si>
    <t>Sales Data Table</t>
  </si>
  <si>
    <t>2022-23</t>
  </si>
  <si>
    <t>2023-24</t>
  </si>
  <si>
    <t>2024-25</t>
  </si>
  <si>
    <t>Apr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</si>
  <si>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</si>
  <si>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</si>
  <si>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</si>
  <si>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</si>
  <si>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</si>
  <si>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</si>
  <si>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</si>
  <si>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</si>
  <si>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</si>
  <si>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</si>
  <si>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</si>
  <si>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Quantity Sold</t>
  </si>
  <si>
    <t>Month-Year</t>
  </si>
  <si>
    <t>Year</t>
  </si>
  <si>
    <t>2022-2023</t>
  </si>
  <si>
    <t>2023-2024</t>
  </si>
  <si>
    <t>2024-2025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</si>
  <si>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</si>
  <si>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</si>
  <si>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</si>
  <si>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</si>
  <si>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</si>
  <si>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</si>
  <si>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</si>
  <si>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</si>
  <si>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</si>
  <si>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</si>
  <si>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</si>
  <si>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Months</t>
  </si>
  <si>
    <t>Total</t>
  </si>
  <si>
    <t>Trend</t>
  </si>
  <si>
    <t>12 MA</t>
  </si>
  <si>
    <t>Center MA</t>
  </si>
  <si>
    <t>2025-26</t>
  </si>
  <si>
    <t>CMA</t>
  </si>
  <si>
    <t>Calculations</t>
  </si>
  <si>
    <t>SI</t>
  </si>
  <si>
    <t>Adjusted SI</t>
  </si>
  <si>
    <t>Deseasonalize</t>
  </si>
  <si>
    <t>Time Period</t>
  </si>
  <si>
    <t>Forecast</t>
  </si>
  <si>
    <t>APE</t>
  </si>
  <si>
    <t xml:space="preserve">MAPE = </t>
  </si>
  <si>
    <t>Last Period With Ordering</t>
  </si>
  <si>
    <t>Planning Horizon</t>
  </si>
  <si>
    <t>Ct</t>
  </si>
  <si>
    <t>jt</t>
  </si>
  <si>
    <t>C(per unit cost)</t>
  </si>
  <si>
    <t>I</t>
  </si>
  <si>
    <t>IC/2</t>
  </si>
  <si>
    <t>A= 2%/month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</si>
</sst>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7" fontId="0" fillId="0" borderId="0" xfId="0" applyNumberForma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2" fontId="2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10" fontId="2" fillId="0" borderId="0" xfId="1" applyNumberFormat="1" applyFont="1"/>
    <xf numFmtId="17" fontId="2" fillId="0" borderId="0" xfId="0" applyNumberFormat="1" applyFont="1"/>
    <xf numFmtId="1" fontId="0" fillId="0" borderId="0" xfId="0" applyNumberFormat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2022-23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1166</c:v>
                </c:pt>
                <c:pt idx="1">
                  <c:v>1200</c:v>
                </c:pt>
                <c:pt idx="2">
                  <c:v>994</c:v>
                </c:pt>
                <c:pt idx="3">
                  <c:v>1348</c:v>
                </c:pt>
                <c:pt idx="4">
                  <c:v>1348</c:v>
                </c:pt>
                <c:pt idx="5">
                  <c:v>1273</c:v>
                </c:pt>
                <c:pt idx="6">
                  <c:v>987</c:v>
                </c:pt>
                <c:pt idx="7">
                  <c:v>1126</c:v>
                </c:pt>
                <c:pt idx="8">
                  <c:v>1326</c:v>
                </c:pt>
                <c:pt idx="9">
                  <c:v>1252</c:v>
                </c:pt>
                <c:pt idx="10">
                  <c:v>1205</c:v>
                </c:pt>
                <c:pt idx="11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C-4B17-9E00-40D346963466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1131</c:v>
                </c:pt>
                <c:pt idx="1">
                  <c:v>1175</c:v>
                </c:pt>
                <c:pt idx="2">
                  <c:v>985</c:v>
                </c:pt>
                <c:pt idx="3">
                  <c:v>1549</c:v>
                </c:pt>
                <c:pt idx="4">
                  <c:v>1583</c:v>
                </c:pt>
                <c:pt idx="5">
                  <c:v>1626</c:v>
                </c:pt>
                <c:pt idx="6">
                  <c:v>932</c:v>
                </c:pt>
                <c:pt idx="7">
                  <c:v>1045</c:v>
                </c:pt>
                <c:pt idx="8">
                  <c:v>1487</c:v>
                </c:pt>
                <c:pt idx="9">
                  <c:v>1475</c:v>
                </c:pt>
                <c:pt idx="10">
                  <c:v>1239</c:v>
                </c:pt>
                <c:pt idx="11">
                  <c:v>1264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1C-4B17-9E00-40D346963466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1137</c:v>
                </c:pt>
                <c:pt idx="1">
                  <c:v>1192</c:v>
                </c:pt>
                <c:pt idx="2">
                  <c:v>1129</c:v>
                </c:pt>
                <c:pt idx="3">
                  <c:v>1547</c:v>
                </c:pt>
                <c:pt idx="4">
                  <c:v>1629</c:v>
                </c:pt>
                <c:pt idx="5">
                  <c:v>1671</c:v>
                </c:pt>
                <c:pt idx="6">
                  <c:v>1102</c:v>
                </c:pt>
                <c:pt idx="7">
                  <c:v>1131</c:v>
                </c:pt>
                <c:pt idx="8">
                  <c:v>1526</c:v>
                </c:pt>
                <c:pt idx="9">
                  <c:v>1373</c:v>
                </c:pt>
                <c:pt idx="10">
                  <c:v>1219</c:v>
                </c:pt>
                <c:pt idx="11">
                  <c:v>1352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1C-4B17-9E00-40D346963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642592"/>
        <c:axId val="416637792"/>
      </c:lineChart>
      <c:catAx>
        <c:axId val="41664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637792"/>
        <c:crosses val="autoZero"/>
        <c:auto val="1"/>
        <c:lblAlgn val="ctr"/>
        <c:lblOffset val="100"/>
        <c:noMultiLvlLbl val="0"/>
      </c:catAx>
      <c:valAx>
        <c:axId val="41663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64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Sheet3!$D$24:$D$71</c:f>
              <c:numCache>
                <c:formatCode>General</c:formatCode>
                <c:ptCount val="48"/>
                <c:pt idx="0">
                  <c:v>1166</c:v>
                </c:pt>
                <c:pt idx="1">
                  <c:v>1200</c:v>
                </c:pt>
                <c:pt idx="2">
                  <c:v>994</c:v>
                </c:pt>
                <c:pt idx="3">
                  <c:v>1348</c:v>
                </c:pt>
                <c:pt idx="4">
                  <c:v>1348</c:v>
                </c:pt>
                <c:pt idx="5">
                  <c:v>1273</c:v>
                </c:pt>
                <c:pt idx="6">
                  <c:v>987</c:v>
                </c:pt>
                <c:pt idx="7">
                  <c:v>1126</c:v>
                </c:pt>
                <c:pt idx="8">
                  <c:v>1326</c:v>
                </c:pt>
                <c:pt idx="9">
                  <c:v>1252</c:v>
                </c:pt>
                <c:pt idx="10">
                  <c:v>1205</c:v>
                </c:pt>
                <c:pt idx="11">
                  <c:v>1230</c:v>
                </c:pt>
                <c:pt idx="12">
                  <c:v>1131</c:v>
                </c:pt>
                <c:pt idx="13">
                  <c:v>1175</c:v>
                </c:pt>
                <c:pt idx="14">
                  <c:v>985</c:v>
                </c:pt>
                <c:pt idx="15">
                  <c:v>1549</c:v>
                </c:pt>
                <c:pt idx="16">
                  <c:v>1583</c:v>
                </c:pt>
                <c:pt idx="17">
                  <c:v>1626</c:v>
                </c:pt>
                <c:pt idx="18">
                  <c:v>932</c:v>
                </c:pt>
                <c:pt idx="19">
                  <c:v>1045</c:v>
                </c:pt>
                <c:pt idx="20">
                  <c:v>1487</c:v>
                </c:pt>
                <c:pt idx="21">
                  <c:v>1475</c:v>
                </c:pt>
                <c:pt idx="22">
                  <c:v>1239</c:v>
                </c:pt>
                <c:pt idx="23">
                  <c:v>1264</c:v>
                </c:pt>
                <c:pt idx="24">
                  <c:v>1137</c:v>
                </c:pt>
                <c:pt idx="25">
                  <c:v>1192</c:v>
                </c:pt>
                <c:pt idx="26">
                  <c:v>1129</c:v>
                </c:pt>
                <c:pt idx="27">
                  <c:v>1547</c:v>
                </c:pt>
                <c:pt idx="28">
                  <c:v>1629</c:v>
                </c:pt>
                <c:pt idx="29">
                  <c:v>1671</c:v>
                </c:pt>
                <c:pt idx="30">
                  <c:v>1102</c:v>
                </c:pt>
                <c:pt idx="31">
                  <c:v>1131</c:v>
                </c:pt>
                <c:pt idx="32">
                  <c:v>1526</c:v>
                </c:pt>
                <c:pt idx="33">
                  <c:v>1373</c:v>
                </c:pt>
                <c:pt idx="34">
                  <c:v>1219</c:v>
                </c:pt>
                <c:pt idx="35">
                  <c:v>1352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20-92AB-E13CC7C8D700}"/>
            </c:ext>
          </c:extLst>
        </c:ser>
        <c:ser>
          <c:idx val="1"/>
          <c:order val="1"/>
          <c:tx>
            <c:strRef>
              <c:f>Sheet3!$H$23</c:f>
              <c:strCache>
                <c:ptCount val="1"/>
                <c:pt idx="0">
                  <c:v>Deseasonalize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Sheet3!$H$24:$H$71</c:f>
              <c:numCache>
                <c:formatCode>0.00</c:formatCode>
                <c:ptCount val="48"/>
                <c:pt idx="0">
                  <c:v>1335.1293899683039</c:v>
                </c:pt>
                <c:pt idx="1">
                  <c:v>1318.9147368803606</c:v>
                </c:pt>
                <c:pt idx="2">
                  <c:v>1229.4231426984597</c:v>
                </c:pt>
                <c:pt idx="3">
                  <c:v>1142.4503074876259</c:v>
                </c:pt>
                <c:pt idx="4">
                  <c:v>1104.0791328317162</c:v>
                </c:pt>
                <c:pt idx="5">
                  <c:v>1017.9615822795558</c:v>
                </c:pt>
                <c:pt idx="6">
                  <c:v>1288.1612942264335</c:v>
                </c:pt>
                <c:pt idx="7">
                  <c:v>1297.5938057631504</c:v>
                </c:pt>
                <c:pt idx="8">
                  <c:v>1185.8670355157331</c:v>
                </c:pt>
                <c:pt idx="9">
                  <c:v>1162.5694774657718</c:v>
                </c:pt>
                <c:pt idx="10">
                  <c:v>1255.5980123693098</c:v>
                </c:pt>
                <c:pt idx="11">
                  <c:v>1270.4271733619721</c:v>
                </c:pt>
                <c:pt idx="12">
                  <c:v>1295.0526072505588</c:v>
                </c:pt>
                <c:pt idx="13">
                  <c:v>1291.4373465286865</c:v>
                </c:pt>
                <c:pt idx="14">
                  <c:v>1218.2915448269443</c:v>
                </c:pt>
                <c:pt idx="15">
                  <c:v>1312.8008355328877</c:v>
                </c:pt>
                <c:pt idx="16">
                  <c:v>1296.5558362556428</c:v>
                </c:pt>
                <c:pt idx="17">
                  <c:v>1300.2400100444286</c:v>
                </c:pt>
                <c:pt idx="18">
                  <c:v>1216.379256554241</c:v>
                </c:pt>
                <c:pt idx="19">
                  <c:v>1204.2500239986609</c:v>
                </c:pt>
                <c:pt idx="20">
                  <c:v>1329.8523995564822</c:v>
                </c:pt>
                <c:pt idx="21">
                  <c:v>1369.6405585159853</c:v>
                </c:pt>
                <c:pt idx="22">
                  <c:v>1291.0256741291078</c:v>
                </c:pt>
                <c:pt idx="23">
                  <c:v>1305.5446724630347</c:v>
                </c:pt>
                <c:pt idx="24">
                  <c:v>1301.9229128593154</c:v>
                </c:pt>
                <c:pt idx="25">
                  <c:v>1310.1219719678247</c:v>
                </c:pt>
                <c:pt idx="26">
                  <c:v>1396.3971107711882</c:v>
                </c:pt>
                <c:pt idx="27">
                  <c:v>1311.1058054030841</c:v>
                </c:pt>
                <c:pt idx="28">
                  <c:v>1334.2321271386243</c:v>
                </c:pt>
                <c:pt idx="29">
                  <c:v>1336.2245121674293</c:v>
                </c:pt>
                <c:pt idx="30">
                  <c:v>1438.2510093591991</c:v>
                </c:pt>
                <c:pt idx="31">
                  <c:v>1303.3557676004646</c:v>
                </c:pt>
                <c:pt idx="32">
                  <c:v>1364.730841777533</c:v>
                </c:pt>
                <c:pt idx="33">
                  <c:v>1274.9264317575917</c:v>
                </c:pt>
                <c:pt idx="34">
                  <c:v>1270.1858730939327</c:v>
                </c:pt>
                <c:pt idx="35">
                  <c:v>1396.4370230775496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20-92AB-E13CC7C8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956575"/>
        <c:axId val="795957535"/>
      </c:lineChart>
      <c:catAx>
        <c:axId val="79595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7535"/>
        <c:crosses val="autoZero"/>
        <c:auto val="1"/>
        <c:lblAlgn val="ctr"/>
        <c:lblOffset val="100"/>
        <c:noMultiLvlLbl val="0"/>
      </c:catAx>
      <c:valAx>
        <c:axId val="7959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Sheet3!$C$24:$C$59</c15:sqref>
                  </c15:fullRef>
                </c:ext>
              </c:extLst>
              <c:f>(Sheet3!$C$24,Sheet3!$C$27,Sheet3!$C$30,Sheet3!$C$33,Sheet3!$C$36,Sheet3!$C$39,Sheet3!$C$42,Sheet3!$C$45,Sheet3!$C$48,Sheet3!$C$51,Sheet3!$C$54,Sheet3!$C$57)</c:f>
              <c:numCache>
                <c:formatCode>mmm\-yy</c:formatCode>
                <c:ptCount val="12"/>
                <c:pt idx="0">
                  <c:v>44652</c:v>
                </c:pt>
                <c:pt idx="1">
                  <c:v>44743</c:v>
                </c:pt>
                <c:pt idx="2">
                  <c:v>44835</c:v>
                </c:pt>
                <c:pt idx="3">
                  <c:v>44927</c:v>
                </c:pt>
                <c:pt idx="4">
                  <c:v>45017</c:v>
                </c:pt>
                <c:pt idx="5">
                  <c:v>45108</c:v>
                </c:pt>
                <c:pt idx="6">
                  <c:v>45200</c:v>
                </c:pt>
                <c:pt idx="7">
                  <c:v>45292</c:v>
                </c:pt>
                <c:pt idx="8">
                  <c:v>45383</c:v>
                </c:pt>
                <c:pt idx="9">
                  <c:v>45474</c:v>
                </c:pt>
                <c:pt idx="10">
                  <c:v>45566</c:v>
                </c:pt>
                <c:pt idx="11">
                  <c:v>45658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Sheet3!$D$24:$D$59</c15:sqref>
                  </c15:fullRef>
                </c:ext>
              </c:extLst>
              <c:f>(Sheet3!$D$24,Sheet3!$D$27,Sheet3!$D$30,Sheet3!$D$33,Sheet3!$D$36,Sheet3!$D$39,Sheet3!$D$42,Sheet3!$D$45,Sheet3!$D$48,Sheet3!$D$51,Sheet3!$D$54,Sheet3!$D$57)</c:f>
              <c:numCache>
                <c:formatCode>General</c:formatCode>
                <c:ptCount val="12"/>
                <c:pt idx="0">
                  <c:v>1166</c:v>
                </c:pt>
                <c:pt idx="1">
                  <c:v>1348</c:v>
                </c:pt>
                <c:pt idx="2">
                  <c:v>987</c:v>
                </c:pt>
                <c:pt idx="3">
                  <c:v>1252</c:v>
                </c:pt>
                <c:pt idx="4">
                  <c:v>1131</c:v>
                </c:pt>
                <c:pt idx="5">
                  <c:v>1549</c:v>
                </c:pt>
                <c:pt idx="6">
                  <c:v>932</c:v>
                </c:pt>
                <c:pt idx="7">
                  <c:v>1475</c:v>
                </c:pt>
                <c:pt idx="8">
                  <c:v>1137</c:v>
                </c:pt>
                <c:pt idx="9">
                  <c:v>1547</c:v>
                </c:pt>
                <c:pt idx="10">
                  <c:v>1102</c:v>
                </c:pt>
                <c:pt idx="11">
                  <c:v>1373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3-4F02-A32A-875C32FCD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74336"/>
        <c:axId val="95079136"/>
      </c:lineChart>
      <c:dateAx>
        <c:axId val="950743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79136"/>
        <c:crosses val="autoZero"/>
        <c:auto val="1"/>
        <c:lblOffset val="100"/>
        <c:baseTimeUnit val="months"/>
      </c:dateAx>
      <c:valAx>
        <c:axId val="9507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7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Sheet3!$C$24:$C$71</c:f>
              <c:numCache>
                <c:formatCode>mmm\-yy</c:formatCode>
                <c:ptCount val="48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  <c:pt idx="36">
                  <c:v>45748</c:v>
                </c:pt>
                <c:pt idx="37">
                  <c:v>45778</c:v>
                </c:pt>
                <c:pt idx="38">
                  <c:v>45809</c:v>
                </c:pt>
                <c:pt idx="39">
                  <c:v>45839</c:v>
                </c:pt>
                <c:pt idx="40">
                  <c:v>45870</c:v>
                </c:pt>
                <c:pt idx="41">
                  <c:v>45901</c:v>
                </c:pt>
                <c:pt idx="42">
                  <c:v>45931</c:v>
                </c:pt>
                <c:pt idx="43">
                  <c:v>45962</c:v>
                </c:pt>
                <c:pt idx="44">
                  <c:v>45992</c:v>
                </c:pt>
                <c:pt idx="45">
                  <c:v>46023</c:v>
                </c:pt>
                <c:pt idx="46">
                  <c:v>46054</c:v>
                </c:pt>
                <c:pt idx="47">
                  <c:v>46082</c:v>
                </c:pt>
              </c:numCache>
            </c:numRef>
          </c:cat>
          <c:val>
            <c:numRef>
              <c:f>Sheet3!$D$24:$D$71</c:f>
              <c:numCache>
                <c:formatCode>General</c:formatCode>
                <c:ptCount val="48"/>
                <c:pt idx="0">
                  <c:v>1166</c:v>
                </c:pt>
                <c:pt idx="1">
                  <c:v>1200</c:v>
                </c:pt>
                <c:pt idx="2">
                  <c:v>994</c:v>
                </c:pt>
                <c:pt idx="3">
                  <c:v>1348</c:v>
                </c:pt>
                <c:pt idx="4">
                  <c:v>1348</c:v>
                </c:pt>
                <c:pt idx="5">
                  <c:v>1273</c:v>
                </c:pt>
                <c:pt idx="6">
                  <c:v>987</c:v>
                </c:pt>
                <c:pt idx="7">
                  <c:v>1126</c:v>
                </c:pt>
                <c:pt idx="8">
                  <c:v>1326</c:v>
                </c:pt>
                <c:pt idx="9">
                  <c:v>1252</c:v>
                </c:pt>
                <c:pt idx="10">
                  <c:v>1205</c:v>
                </c:pt>
                <c:pt idx="11">
                  <c:v>1230</c:v>
                </c:pt>
                <c:pt idx="12">
                  <c:v>1131</c:v>
                </c:pt>
                <c:pt idx="13">
                  <c:v>1175</c:v>
                </c:pt>
                <c:pt idx="14">
                  <c:v>985</c:v>
                </c:pt>
                <c:pt idx="15">
                  <c:v>1549</c:v>
                </c:pt>
                <c:pt idx="16">
                  <c:v>1583</c:v>
                </c:pt>
                <c:pt idx="17">
                  <c:v>1626</c:v>
                </c:pt>
                <c:pt idx="18">
                  <c:v>932</c:v>
                </c:pt>
                <c:pt idx="19">
                  <c:v>1045</c:v>
                </c:pt>
                <c:pt idx="20">
                  <c:v>1487</c:v>
                </c:pt>
                <c:pt idx="21">
                  <c:v>1475</c:v>
                </c:pt>
                <c:pt idx="22">
                  <c:v>1239</c:v>
                </c:pt>
                <c:pt idx="23">
                  <c:v>1264</c:v>
                </c:pt>
                <c:pt idx="24">
                  <c:v>1137</c:v>
                </c:pt>
                <c:pt idx="25">
                  <c:v>1192</c:v>
                </c:pt>
                <c:pt idx="26">
                  <c:v>1129</c:v>
                </c:pt>
                <c:pt idx="27">
                  <c:v>1547</c:v>
                </c:pt>
                <c:pt idx="28">
                  <c:v>1629</c:v>
                </c:pt>
                <c:pt idx="29">
                  <c:v>1671</c:v>
                </c:pt>
                <c:pt idx="30">
                  <c:v>1102</c:v>
                </c:pt>
                <c:pt idx="31">
                  <c:v>1131</c:v>
                </c:pt>
                <c:pt idx="32">
                  <c:v>1526</c:v>
                </c:pt>
                <c:pt idx="33">
                  <c:v>1373</c:v>
                </c:pt>
                <c:pt idx="34">
                  <c:v>1219</c:v>
                </c:pt>
                <c:pt idx="35">
                  <c:v>1352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0-4599-804F-9FD000EED46E}"/>
            </c:ext>
          </c:extLst>
        </c:ser>
        <c:ser>
          <c:idx val="1"/>
          <c:order val="1"/>
          <c:tx>
            <c:strRef>
              <c:f>Sheet3!$J$23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Sheet3!$C$24:$C$71</c:f>
              <c:numCache>
                <c:formatCode>mmm\-yy</c:formatCode>
                <c:ptCount val="48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  <c:pt idx="36">
                  <c:v>45748</c:v>
                </c:pt>
                <c:pt idx="37">
                  <c:v>45778</c:v>
                </c:pt>
                <c:pt idx="38">
                  <c:v>45809</c:v>
                </c:pt>
                <c:pt idx="39">
                  <c:v>45839</c:v>
                </c:pt>
                <c:pt idx="40">
                  <c:v>45870</c:v>
                </c:pt>
                <c:pt idx="41">
                  <c:v>45901</c:v>
                </c:pt>
                <c:pt idx="42">
                  <c:v>45931</c:v>
                </c:pt>
                <c:pt idx="43">
                  <c:v>45962</c:v>
                </c:pt>
                <c:pt idx="44">
                  <c:v>45992</c:v>
                </c:pt>
                <c:pt idx="45">
                  <c:v>46023</c:v>
                </c:pt>
                <c:pt idx="46">
                  <c:v>46054</c:v>
                </c:pt>
                <c:pt idx="47">
                  <c:v>46082</c:v>
                </c:pt>
              </c:numCache>
            </c:numRef>
          </c:cat>
          <c:val>
            <c:numRef>
              <c:f>Sheet3!$J$24:$J$71</c:f>
              <c:numCache>
                <c:formatCode>0.00</c:formatCode>
                <c:ptCount val="48"/>
                <c:pt idx="0">
                  <c:v>1049.6978461640119</c:v>
                </c:pt>
                <c:pt idx="1">
                  <c:v>1097.6433574654352</c:v>
                </c:pt>
                <c:pt idx="2">
                  <c:v>979.00163352887887</c:v>
                </c:pt>
                <c:pt idx="3">
                  <c:v>1433.9922089064203</c:v>
                </c:pt>
                <c:pt idx="4">
                  <c:v>1489.2714671481976</c:v>
                </c:pt>
                <c:pt idx="5">
                  <c:v>1530.9653253417275</c:v>
                </c:pt>
                <c:pt idx="6">
                  <c:v>941.44217260329049</c:v>
                </c:pt>
                <c:pt idx="7">
                  <c:v>1070.0869207551148</c:v>
                </c:pt>
                <c:pt idx="8">
                  <c:v>1383.8657757159888</c:v>
                </c:pt>
                <c:pt idx="9">
                  <c:v>1337.6214756556642</c:v>
                </c:pt>
                <c:pt idx="10">
                  <c:v>1196.2998090970175</c:v>
                </c:pt>
                <c:pt idx="11">
                  <c:v>1211.1813508585794</c:v>
                </c:pt>
                <c:pt idx="12">
                  <c:v>1096.4119253151575</c:v>
                </c:pt>
                <c:pt idx="13">
                  <c:v>1146.3106429275906</c:v>
                </c:pt>
                <c:pt idx="14">
                  <c:v>1022.2487940494618</c:v>
                </c:pt>
                <c:pt idx="15">
                  <c:v>1497.1061312603526</c:v>
                </c:pt>
                <c:pt idx="16">
                  <c:v>1554.578851243999</c:v>
                </c:pt>
                <c:pt idx="17">
                  <c:v>1597.8566218163132</c:v>
                </c:pt>
                <c:pt idx="18">
                  <c:v>982.42665974525551</c:v>
                </c:pt>
                <c:pt idx="19">
                  <c:v>1116.5034031184666</c:v>
                </c:pt>
                <c:pt idx="20">
                  <c:v>1443.6766464761779</c:v>
                </c:pt>
                <c:pt idx="21">
                  <c:v>1395.2261877163864</c:v>
                </c:pt>
                <c:pt idx="22">
                  <c:v>1247.6342723289024</c:v>
                </c:pt>
                <c:pt idx="23">
                  <c:v>1262.969207242264</c:v>
                </c:pt>
                <c:pt idx="24">
                  <c:v>1143.1260044663031</c:v>
                </c:pt>
                <c:pt idx="25">
                  <c:v>1194.9779283897458</c:v>
                </c:pt>
                <c:pt idx="26">
                  <c:v>1065.4959545700449</c:v>
                </c:pt>
                <c:pt idx="27">
                  <c:v>1560.2200536142848</c:v>
                </c:pt>
                <c:pt idx="28">
                  <c:v>1619.8862353398001</c:v>
                </c:pt>
                <c:pt idx="29">
                  <c:v>1664.7479182908987</c:v>
                </c:pt>
                <c:pt idx="30">
                  <c:v>1023.4111468872201</c:v>
                </c:pt>
                <c:pt idx="31">
                  <c:v>1162.9198854818185</c:v>
                </c:pt>
                <c:pt idx="32">
                  <c:v>1503.4875172363668</c:v>
                </c:pt>
                <c:pt idx="33">
                  <c:v>1452.8308997771082</c:v>
                </c:pt>
                <c:pt idx="34">
                  <c:v>1298.9687355607871</c:v>
                </c:pt>
                <c:pt idx="35">
                  <c:v>1314.7570636259486</c:v>
                </c:pt>
                <c:pt idx="36">
                  <c:v>1189.8400836174487</c:v>
                </c:pt>
                <c:pt idx="37">
                  <c:v>1243.6452138519012</c:v>
                </c:pt>
                <c:pt idx="38">
                  <c:v>1108.7431150906282</c:v>
                </c:pt>
                <c:pt idx="39">
                  <c:v>1623.3339759682171</c:v>
                </c:pt>
                <c:pt idx="40">
                  <c:v>1685.1936194356012</c:v>
                </c:pt>
                <c:pt idx="41">
                  <c:v>1731.6392147654844</c:v>
                </c:pt>
                <c:pt idx="42">
                  <c:v>1064.395634029185</c:v>
                </c:pt>
                <c:pt idx="43">
                  <c:v>1209.3363678451706</c:v>
                </c:pt>
                <c:pt idx="44">
                  <c:v>1563.2983879965559</c:v>
                </c:pt>
                <c:pt idx="45">
                  <c:v>1510.4356118378305</c:v>
                </c:pt>
                <c:pt idx="46">
                  <c:v>1350.303198792672</c:v>
                </c:pt>
                <c:pt idx="47">
                  <c:v>1366.5449200096327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0-4599-804F-9FD000EED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622224"/>
        <c:axId val="415618864"/>
      </c:lineChart>
      <c:dateAx>
        <c:axId val="4156222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18864"/>
        <c:crosses val="autoZero"/>
        <c:auto val="1"/>
        <c:lblOffset val="100"/>
        <c:baseTimeUnit val="months"/>
      </c:dateAx>
      <c:valAx>
        <c:axId val="41561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2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99060</xdr:rowOff>
    </xdr:from>
    <xdr:to>
      <xdr:col>16</xdr:col>
      <xdr:colOff>7620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5A744-4C4A-EFB0-0D49-34D229EC0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71</xdr:row>
      <xdr:rowOff>60960</xdr:rowOff>
    </xdr:from>
    <xdr:to>
      <xdr:col>7</xdr:col>
      <xdr:colOff>525780</xdr:colOff>
      <xdr:row>87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F3C54-CA54-74D3-72C5-EEE59B998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</xdr:colOff>
      <xdr:row>17</xdr:row>
      <xdr:rowOff>179070</xdr:rowOff>
    </xdr:from>
    <xdr:to>
      <xdr:col>17</xdr:col>
      <xdr:colOff>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90236-1880-156B-2C64-01319F5F7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784860</xdr:colOff>
      <xdr:row>49</xdr:row>
      <xdr:rowOff>156210</xdr:rowOff>
    </xdr:from>
    <xdr:to>
      <xdr:col>18</xdr:col>
      <xdr:colOff>15240</xdr:colOff>
      <xdr:row>64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AAF0E9-DC0A-2264-5B06-B49AA7EFA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BF33-2228-4F14-9B2C-0ADA393EC84E}">
  <dimension ref="A1:D14"/>
  <sheetViews>
    <sheetView topLeftCell="A16" workbookViewId="0">
      <selection activeCell="A2" sqref="A2:D14"/>
    </sheetView>
  </sheetViews>
  <sheetFormatPr defaultRowHeight="14.4" x14ac:dyDescent="0.3"/>
  <sheetData>
    <row r="1" spans="1:4" x14ac:dyDescent="0.3">
      <c r="B1" t="s">
        <v>1</v>
      </c>
    </row>
    <row r="2" spans="1:4" x14ac:dyDescent="0.3"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1166</v>
      </c>
      <c r="C3">
        <v>1131</v>
      </c>
      <c r="D3">
        <v>1137</v>
      </c>
    </row>
    <row r="4" spans="1:4" x14ac:dyDescent="0.3">
      <c r="A4" t="s">
        <v>7</v>
      </c>
      <c r="B4">
        <v>1200</v>
      </c>
      <c r="C4">
        <v>1175</v>
      </c>
      <c r="D4">
        <v>1192</v>
      </c>
    </row>
    <row r="5" spans="1:4" x14ac:dyDescent="0.3">
      <c r="A5" t="s">
        <v>8</v>
      </c>
      <c r="B5">
        <v>994</v>
      </c>
      <c r="C5">
        <v>985</v>
      </c>
      <c r="D5">
        <v>1129</v>
      </c>
    </row>
    <row r="6" spans="1:4" x14ac:dyDescent="0.3">
      <c r="A6" t="s">
        <v>9</v>
      </c>
      <c r="B6">
        <v>1348</v>
      </c>
      <c r="C6">
        <v>1549</v>
      </c>
      <c r="D6">
        <v>1547</v>
      </c>
    </row>
    <row r="7" spans="1:4" x14ac:dyDescent="0.3">
      <c r="A7" t="s">
        <v>10</v>
      </c>
      <c r="B7">
        <v>1348</v>
      </c>
      <c r="C7">
        <v>1583</v>
      </c>
      <c r="D7">
        <v>1629</v>
      </c>
    </row>
    <row r="8" spans="1:4" x14ac:dyDescent="0.3">
      <c r="A8" t="s">
        <v>11</v>
      </c>
      <c r="B8">
        <v>1273</v>
      </c>
      <c r="C8">
        <v>1626</v>
      </c>
      <c r="D8">
        <v>1671</v>
      </c>
    </row>
    <row r="9" spans="1:4" x14ac:dyDescent="0.3">
      <c r="A9" t="s">
        <v>12</v>
      </c>
      <c r="B9">
        <v>987</v>
      </c>
      <c r="C9">
        <v>932</v>
      </c>
      <c r="D9">
        <v>1102</v>
      </c>
    </row>
    <row r="10" spans="1:4" x14ac:dyDescent="0.3">
      <c r="A10" t="s">
        <v>13</v>
      </c>
      <c r="B10">
        <v>1126</v>
      </c>
      <c r="C10">
        <v>1045</v>
      </c>
      <c r="D10">
        <v>1131</v>
      </c>
    </row>
    <row r="11" spans="1:4" x14ac:dyDescent="0.3">
      <c r="A11" t="s">
        <v>14</v>
      </c>
      <c r="B11">
        <v>1326</v>
      </c>
      <c r="C11">
        <v>1487</v>
      </c>
      <c r="D11">
        <v>1526</v>
      </c>
    </row>
    <row r="12" spans="1:4" x14ac:dyDescent="0.3">
      <c r="A12" t="s">
        <v>15</v>
      </c>
      <c r="B12">
        <v>1252</v>
      </c>
      <c r="C12">
        <v>1475</v>
      </c>
      <c r="D12">
        <v>1373</v>
      </c>
    </row>
    <row r="13" spans="1:4" x14ac:dyDescent="0.3">
      <c r="A13" t="s">
        <v>16</v>
      </c>
      <c r="B13">
        <v>1205</v>
      </c>
      <c r="C13">
        <v>1239</v>
      </c>
      <c r="D13">
        <v>1219</v>
      </c>
    </row>
    <row r="14" spans="1:4" x14ac:dyDescent="0.3">
      <c r="A14" t="s">
        <v>6</v>
      </c>
      <c r="B14">
        <v>1230</v>
      </c>
      <c r="C14">
        <v>1264</v>
      </c>
      <c r="D14">
        <v>1352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5AC4-CBF4-4777-A076-C19A7895DFD5}">
  <dimension ref="A1:I50"/>
  <sheetViews>
    <sheetView workbookViewId="0">
      <selection activeCell="C45" sqref="C45"/>
    </sheetView>
  </sheetViews>
  <sheetFormatPr defaultRowHeight="14.4" x14ac:dyDescent="0.3"/>
  <cols>
    <col min="1" max="1" width="10.77734375" bestFit="1" customWidth="1"/>
    <col min="2" max="2" width="13.109375" customWidth="1"/>
    <col min="3" max="5" width="12" bestFit="1" customWidth="1"/>
    <col min="6" max="6" width="12.5546875" bestFit="1" customWidth="1"/>
    <col min="7" max="7" width="10" bestFit="1" customWidth="1"/>
    <col min="8" max="9" width="12" bestFit="1" customWidth="1"/>
  </cols>
  <sheetData>
    <row r="1" spans="1:9" s="2" customFormat="1" x14ac:dyDescent="0.3">
      <c r="A1" s="10" t="s">
        <v>18</v>
      </c>
      <c r="B1" s="2" t="s">
        <v>17</v>
      </c>
      <c r="C1" s="2" t="s">
        <v>37</v>
      </c>
      <c r="D1" s="2" t="s">
        <v>38</v>
      </c>
      <c r="E1" s="2" t="s">
        <v>43</v>
      </c>
      <c r="F1" s="2" t="s">
        <v>44</v>
      </c>
      <c r="G1" s="2" t="s">
        <v>36</v>
      </c>
      <c r="H1" s="2" t="s">
        <v>46</v>
      </c>
      <c r="I1" s="2" t="s">
        <v>47</v>
      </c>
    </row>
    <row r="2" spans="1:9" x14ac:dyDescent="0.3">
      <c r="A2" s="1">
        <v>44652</v>
      </c>
      <c r="B2">
        <v>1166</v>
      </c>
      <c r="E2">
        <v>87.332359602066802</v>
      </c>
      <c r="F2">
        <v>1335.1293899683039</v>
      </c>
      <c r="G2">
        <v>1201.9575</v>
      </c>
      <c r="H2" s="11">
        <v>1049.6978461640119</v>
      </c>
      <c r="I2">
        <v>9.974455732074448</v>
      </c>
    </row>
    <row r="3" spans="1:9" x14ac:dyDescent="0.3">
      <c r="A3" s="1">
        <v>44682</v>
      </c>
      <c r="B3">
        <v>1200</v>
      </c>
      <c r="E3">
        <v>90.98389504983237</v>
      </c>
      <c r="F3">
        <v>1318.9147368803606</v>
      </c>
      <c r="G3">
        <v>1206.415</v>
      </c>
      <c r="H3" s="11">
        <v>1097.6433574654352</v>
      </c>
      <c r="I3">
        <v>8.5297202112137338</v>
      </c>
    </row>
    <row r="4" spans="1:9" x14ac:dyDescent="0.3">
      <c r="A4" s="1">
        <v>44713</v>
      </c>
      <c r="B4">
        <v>994</v>
      </c>
      <c r="E4">
        <v>80.850926379852453</v>
      </c>
      <c r="F4">
        <v>1229.4231426984597</v>
      </c>
      <c r="G4">
        <v>1210.8724999999999</v>
      </c>
      <c r="H4" s="11">
        <v>979.00163352887887</v>
      </c>
      <c r="I4">
        <v>1.5088899870343189</v>
      </c>
    </row>
    <row r="5" spans="1:9" x14ac:dyDescent="0.3">
      <c r="A5" s="1">
        <v>44743</v>
      </c>
      <c r="B5">
        <v>1348</v>
      </c>
      <c r="E5">
        <v>117.99200290508919</v>
      </c>
      <c r="F5">
        <v>1142.4503074876259</v>
      </c>
      <c r="G5">
        <v>1215.33</v>
      </c>
      <c r="H5" s="11">
        <v>1433.9922089064203</v>
      </c>
      <c r="I5">
        <v>6.3792439841558064</v>
      </c>
    </row>
    <row r="6" spans="1:9" x14ac:dyDescent="0.3">
      <c r="A6" s="1">
        <v>44774</v>
      </c>
      <c r="B6">
        <v>1348</v>
      </c>
      <c r="E6">
        <v>122.09269787960591</v>
      </c>
      <c r="F6">
        <v>1104.0791328317162</v>
      </c>
      <c r="G6">
        <v>1219.7874999999999</v>
      </c>
      <c r="H6" s="11">
        <v>1489.2714671481976</v>
      </c>
      <c r="I6">
        <v>10.480079165296562</v>
      </c>
    </row>
    <row r="7" spans="1:9" x14ac:dyDescent="0.3">
      <c r="A7" s="1">
        <v>44805</v>
      </c>
      <c r="B7">
        <v>1273</v>
      </c>
      <c r="C7">
        <v>1204.5833333333333</v>
      </c>
      <c r="E7">
        <v>125.05383524880459</v>
      </c>
      <c r="F7">
        <v>1017.9615822795558</v>
      </c>
      <c r="G7">
        <v>1224.2449999999999</v>
      </c>
      <c r="H7" s="11">
        <v>1530.9653253417275</v>
      </c>
      <c r="I7">
        <v>20.264361770756288</v>
      </c>
    </row>
    <row r="8" spans="1:9" x14ac:dyDescent="0.3">
      <c r="A8" s="1">
        <v>44835</v>
      </c>
      <c r="B8">
        <v>987</v>
      </c>
      <c r="C8">
        <v>1201.6666666666667</v>
      </c>
      <c r="D8">
        <v>1203.125</v>
      </c>
      <c r="E8">
        <v>76.620839674639754</v>
      </c>
      <c r="F8">
        <v>1288.1612942264335</v>
      </c>
      <c r="G8">
        <v>1228.7025000000001</v>
      </c>
      <c r="H8" s="11">
        <v>941.44217260329049</v>
      </c>
      <c r="I8">
        <v>4.6157879834558777</v>
      </c>
    </row>
    <row r="9" spans="1:9" x14ac:dyDescent="0.3">
      <c r="A9" s="1">
        <v>44866</v>
      </c>
      <c r="B9">
        <v>1126</v>
      </c>
      <c r="C9">
        <v>1199.5833333333333</v>
      </c>
      <c r="D9">
        <v>1200.625</v>
      </c>
      <c r="E9">
        <v>86.775999931486155</v>
      </c>
      <c r="F9">
        <v>1297.5938057631504</v>
      </c>
      <c r="G9">
        <v>1233.1600000000001</v>
      </c>
      <c r="H9" s="11">
        <v>1070.0869207551148</v>
      </c>
      <c r="I9">
        <v>4.9656375883557047</v>
      </c>
    </row>
    <row r="10" spans="1:9" x14ac:dyDescent="0.3">
      <c r="A10" s="1">
        <v>44896</v>
      </c>
      <c r="B10">
        <v>1326</v>
      </c>
      <c r="C10">
        <v>1198.8333333333333</v>
      </c>
      <c r="D10">
        <v>1199.2083333333333</v>
      </c>
      <c r="E10">
        <v>111.81692047146947</v>
      </c>
      <c r="F10">
        <v>1185.8670355157331</v>
      </c>
      <c r="G10">
        <v>1237.6175000000001</v>
      </c>
      <c r="H10" s="11">
        <v>1383.8657757159888</v>
      </c>
      <c r="I10">
        <v>4.3639348202103152</v>
      </c>
    </row>
    <row r="11" spans="1:9" x14ac:dyDescent="0.3">
      <c r="A11" s="1">
        <v>44927</v>
      </c>
      <c r="B11">
        <v>1252</v>
      </c>
      <c r="C11">
        <v>1215.5833333333333</v>
      </c>
      <c r="D11">
        <v>1207.2083333333333</v>
      </c>
      <c r="E11">
        <v>107.69248842909357</v>
      </c>
      <c r="F11">
        <v>1162.5694774657718</v>
      </c>
      <c r="G11">
        <v>1242.075</v>
      </c>
      <c r="H11" s="11">
        <v>1337.6214756556642</v>
      </c>
      <c r="I11">
        <v>6.8387760108357982</v>
      </c>
    </row>
    <row r="12" spans="1:9" x14ac:dyDescent="0.3">
      <c r="A12" s="1">
        <v>44958</v>
      </c>
      <c r="B12">
        <v>1205</v>
      </c>
      <c r="C12">
        <v>1235.1666666666667</v>
      </c>
      <c r="D12">
        <v>1225.375</v>
      </c>
      <c r="E12">
        <v>95.970206079425722</v>
      </c>
      <c r="F12">
        <v>1255.5980123693098</v>
      </c>
      <c r="G12">
        <v>1246.5325</v>
      </c>
      <c r="H12" s="11">
        <v>1196.2998090970175</v>
      </c>
      <c r="I12">
        <v>0.72200754381597609</v>
      </c>
    </row>
    <row r="13" spans="1:9" x14ac:dyDescent="0.3">
      <c r="A13" s="1">
        <v>44986</v>
      </c>
      <c r="B13">
        <v>1230</v>
      </c>
      <c r="C13">
        <v>1264.5833333333333</v>
      </c>
      <c r="D13">
        <v>1249.875</v>
      </c>
      <c r="E13">
        <v>96.817828348634237</v>
      </c>
      <c r="F13">
        <v>1270.4271733619721</v>
      </c>
      <c r="G13">
        <v>1250.99</v>
      </c>
      <c r="H13" s="11">
        <v>1211.1813508585794</v>
      </c>
      <c r="I13">
        <v>1.5299714749122411</v>
      </c>
    </row>
    <row r="14" spans="1:9" x14ac:dyDescent="0.3">
      <c r="A14" s="1">
        <v>45017</v>
      </c>
      <c r="B14">
        <v>1131</v>
      </c>
      <c r="C14">
        <v>1260</v>
      </c>
      <c r="D14">
        <v>1262.2916666666665</v>
      </c>
      <c r="E14">
        <v>87.332359602066802</v>
      </c>
      <c r="F14">
        <v>1295.0526072505588</v>
      </c>
      <c r="G14">
        <v>1255.4475</v>
      </c>
      <c r="H14" s="11">
        <v>1096.4119253151575</v>
      </c>
      <c r="I14">
        <v>3.0581852064405366</v>
      </c>
    </row>
    <row r="15" spans="1:9" x14ac:dyDescent="0.3">
      <c r="A15" s="1">
        <v>45047</v>
      </c>
      <c r="B15">
        <v>1175</v>
      </c>
      <c r="C15">
        <v>1253.25</v>
      </c>
      <c r="D15">
        <v>1256.625</v>
      </c>
      <c r="E15">
        <v>90.98389504983237</v>
      </c>
      <c r="F15">
        <v>1291.4373465286865</v>
      </c>
      <c r="G15">
        <v>1259.905</v>
      </c>
      <c r="H15" s="11">
        <v>1146.3106429275906</v>
      </c>
      <c r="I15">
        <v>2.4416474104178207</v>
      </c>
    </row>
    <row r="16" spans="1:9" x14ac:dyDescent="0.3">
      <c r="A16" s="1">
        <v>45078</v>
      </c>
      <c r="B16">
        <v>985</v>
      </c>
      <c r="C16">
        <v>1266.6666666666667</v>
      </c>
      <c r="D16">
        <v>1259.9583333333335</v>
      </c>
      <c r="E16">
        <v>80.850926379852453</v>
      </c>
      <c r="F16">
        <v>1218.2915448269443</v>
      </c>
      <c r="G16">
        <v>1264.3625</v>
      </c>
      <c r="H16" s="11">
        <v>1022.2487940494618</v>
      </c>
      <c r="I16">
        <v>3.781603456798154</v>
      </c>
    </row>
    <row r="17" spans="1:9" x14ac:dyDescent="0.3">
      <c r="A17" s="1">
        <v>45108</v>
      </c>
      <c r="B17">
        <v>1549</v>
      </c>
      <c r="C17">
        <v>1285.25</v>
      </c>
      <c r="D17">
        <v>1275.9583333333335</v>
      </c>
      <c r="E17">
        <v>117.99200290508919</v>
      </c>
      <c r="F17">
        <v>1312.8008355328877</v>
      </c>
      <c r="G17">
        <v>1268.82</v>
      </c>
      <c r="H17" s="11">
        <v>1497.1061312603526</v>
      </c>
      <c r="I17">
        <v>3.350152920571166</v>
      </c>
    </row>
    <row r="18" spans="1:9" x14ac:dyDescent="0.3">
      <c r="A18" s="1">
        <v>45139</v>
      </c>
      <c r="B18">
        <v>1583</v>
      </c>
      <c r="C18">
        <v>1288.0833333333333</v>
      </c>
      <c r="D18">
        <v>1286.6666666666665</v>
      </c>
      <c r="E18">
        <v>122.09269787960591</v>
      </c>
      <c r="F18">
        <v>1296.5558362556428</v>
      </c>
      <c r="G18">
        <v>1273.2774999999999</v>
      </c>
      <c r="H18" s="11">
        <v>1554.578851243999</v>
      </c>
      <c r="I18">
        <v>1.795397899936892</v>
      </c>
    </row>
    <row r="19" spans="1:9" x14ac:dyDescent="0.3">
      <c r="A19" s="1">
        <v>45170</v>
      </c>
      <c r="B19">
        <v>1626</v>
      </c>
      <c r="C19">
        <v>1290.9166666666667</v>
      </c>
      <c r="D19">
        <v>1289.5</v>
      </c>
      <c r="E19">
        <v>125.05383524880459</v>
      </c>
      <c r="F19">
        <v>1300.2400100444286</v>
      </c>
      <c r="G19">
        <v>1277.7349999999999</v>
      </c>
      <c r="H19" s="11">
        <v>1597.8566218163132</v>
      </c>
      <c r="I19">
        <v>1.7308350666474026</v>
      </c>
    </row>
    <row r="20" spans="1:9" x14ac:dyDescent="0.3">
      <c r="A20" s="1">
        <v>45200</v>
      </c>
      <c r="B20">
        <v>932</v>
      </c>
      <c r="C20">
        <v>1291.4166666666667</v>
      </c>
      <c r="D20">
        <v>1291.1666666666667</v>
      </c>
      <c r="E20">
        <v>76.620839674639754</v>
      </c>
      <c r="F20">
        <v>1216.379256554241</v>
      </c>
      <c r="G20">
        <v>1282.1925000000001</v>
      </c>
      <c r="H20" s="11">
        <v>982.42665974525551</v>
      </c>
      <c r="I20">
        <v>5.4105858095767712</v>
      </c>
    </row>
    <row r="21" spans="1:9" x14ac:dyDescent="0.3">
      <c r="A21" s="1">
        <v>45231</v>
      </c>
      <c r="B21">
        <v>1045</v>
      </c>
      <c r="C21">
        <v>1292.8333333333333</v>
      </c>
      <c r="D21">
        <v>1292.125</v>
      </c>
      <c r="E21">
        <v>86.775999931486155</v>
      </c>
      <c r="F21">
        <v>1204.2500239986609</v>
      </c>
      <c r="G21">
        <v>1286.6500000000001</v>
      </c>
      <c r="H21" s="11">
        <v>1116.5034031184666</v>
      </c>
      <c r="I21">
        <v>6.8424309204274278</v>
      </c>
    </row>
    <row r="22" spans="1:9" x14ac:dyDescent="0.3">
      <c r="A22" s="1">
        <v>45261</v>
      </c>
      <c r="B22">
        <v>1487</v>
      </c>
      <c r="C22">
        <v>1304.8333333333333</v>
      </c>
      <c r="D22">
        <v>1298.8333333333333</v>
      </c>
      <c r="E22">
        <v>111.81692047146947</v>
      </c>
      <c r="F22">
        <v>1329.8523995564822</v>
      </c>
      <c r="G22">
        <v>1291.1075000000001</v>
      </c>
      <c r="H22" s="11">
        <v>1443.6766464761779</v>
      </c>
      <c r="I22">
        <v>2.9134736734244862</v>
      </c>
    </row>
    <row r="23" spans="1:9" x14ac:dyDescent="0.3">
      <c r="A23" s="1">
        <v>45292</v>
      </c>
      <c r="B23">
        <v>1475</v>
      </c>
      <c r="C23">
        <v>1304.6666666666667</v>
      </c>
      <c r="D23">
        <v>1304.75</v>
      </c>
      <c r="E23">
        <v>107.69248842909357</v>
      </c>
      <c r="F23">
        <v>1369.6405585159853</v>
      </c>
      <c r="G23">
        <v>1295.5650000000001</v>
      </c>
      <c r="H23" s="11">
        <v>1395.2261877163864</v>
      </c>
      <c r="I23">
        <v>5.4083940531263428</v>
      </c>
    </row>
    <row r="24" spans="1:9" x14ac:dyDescent="0.3">
      <c r="A24" s="1">
        <v>45323</v>
      </c>
      <c r="B24">
        <v>1239</v>
      </c>
      <c r="C24">
        <v>1308.5</v>
      </c>
      <c r="D24">
        <v>1306.5833333333335</v>
      </c>
      <c r="E24">
        <v>95.970206079425722</v>
      </c>
      <c r="F24">
        <v>1291.0256741291078</v>
      </c>
      <c r="G24">
        <v>1300.0225</v>
      </c>
      <c r="H24" s="11">
        <v>1247.6342723289024</v>
      </c>
      <c r="I24">
        <v>0.69687427997598039</v>
      </c>
    </row>
    <row r="25" spans="1:9" x14ac:dyDescent="0.3">
      <c r="A25" s="1">
        <v>45352</v>
      </c>
      <c r="B25">
        <v>1264</v>
      </c>
      <c r="C25">
        <v>1312.25</v>
      </c>
      <c r="D25">
        <v>1310.375</v>
      </c>
      <c r="E25">
        <v>96.817828348634237</v>
      </c>
      <c r="F25">
        <v>1305.5446724630347</v>
      </c>
      <c r="G25">
        <v>1304.48</v>
      </c>
      <c r="H25" s="11">
        <v>1262.969207242264</v>
      </c>
      <c r="I25">
        <v>8.1550059947466821E-2</v>
      </c>
    </row>
    <row r="26" spans="1:9" x14ac:dyDescent="0.3">
      <c r="A26" s="1">
        <v>45383</v>
      </c>
      <c r="B26">
        <v>1137</v>
      </c>
      <c r="C26">
        <v>1326.4166666666667</v>
      </c>
      <c r="D26">
        <v>1319.3333333333335</v>
      </c>
      <c r="E26">
        <v>87.332359602066802</v>
      </c>
      <c r="F26">
        <v>1301.9229128593154</v>
      </c>
      <c r="G26">
        <v>1308.9375</v>
      </c>
      <c r="H26" s="11">
        <v>1143.1260044663031</v>
      </c>
      <c r="I26">
        <v>0.53878667249807644</v>
      </c>
    </row>
    <row r="27" spans="1:9" x14ac:dyDescent="0.3">
      <c r="A27" s="1">
        <v>45413</v>
      </c>
      <c r="B27">
        <v>1192</v>
      </c>
      <c r="C27">
        <v>1333.5833333333333</v>
      </c>
      <c r="D27">
        <v>1330</v>
      </c>
      <c r="E27">
        <v>90.98389504983237</v>
      </c>
      <c r="F27">
        <v>1310.1219719678247</v>
      </c>
      <c r="G27">
        <v>1313.395</v>
      </c>
      <c r="H27" s="11">
        <v>1194.9779283897458</v>
      </c>
      <c r="I27">
        <v>0.24982620719343826</v>
      </c>
    </row>
    <row r="28" spans="1:9" x14ac:dyDescent="0.3">
      <c r="A28" s="1">
        <v>45444</v>
      </c>
      <c r="B28">
        <v>1129</v>
      </c>
      <c r="C28">
        <v>1336.8333333333333</v>
      </c>
      <c r="D28">
        <v>1335.2083333333333</v>
      </c>
      <c r="E28">
        <v>80.850926379852453</v>
      </c>
      <c r="F28">
        <v>1396.3971107711882</v>
      </c>
      <c r="G28">
        <v>1317.8525</v>
      </c>
      <c r="H28" s="11">
        <v>1065.4959545700449</v>
      </c>
      <c r="I28">
        <v>5.6248047325026675</v>
      </c>
    </row>
    <row r="29" spans="1:9" x14ac:dyDescent="0.3">
      <c r="A29" s="1">
        <v>45474</v>
      </c>
      <c r="B29">
        <v>1547</v>
      </c>
      <c r="C29">
        <v>1328.3333333333333</v>
      </c>
      <c r="D29">
        <v>1332.5833333333333</v>
      </c>
      <c r="E29">
        <v>117.99200290508919</v>
      </c>
      <c r="F29">
        <v>1311.1058054030841</v>
      </c>
      <c r="G29">
        <v>1322.31</v>
      </c>
      <c r="H29" s="11">
        <v>1560.2200536142848</v>
      </c>
      <c r="I29">
        <v>0.85456067319229345</v>
      </c>
    </row>
    <row r="30" spans="1:9" x14ac:dyDescent="0.3">
      <c r="A30" s="1">
        <v>45505</v>
      </c>
      <c r="B30">
        <v>1629</v>
      </c>
      <c r="C30">
        <v>1326.6666666666667</v>
      </c>
      <c r="D30">
        <v>1327.5</v>
      </c>
      <c r="E30">
        <v>122.09269787960591</v>
      </c>
      <c r="F30">
        <v>1334.2321271386243</v>
      </c>
      <c r="G30">
        <v>1326.7674999999999</v>
      </c>
      <c r="H30" s="11">
        <v>1619.8862353398001</v>
      </c>
      <c r="I30">
        <v>0.55946989933700897</v>
      </c>
    </row>
    <row r="31" spans="1:9" x14ac:dyDescent="0.3">
      <c r="A31" s="1">
        <v>45536</v>
      </c>
      <c r="B31">
        <v>1671</v>
      </c>
      <c r="C31">
        <v>1334</v>
      </c>
      <c r="D31">
        <v>1330.3333333333335</v>
      </c>
      <c r="E31">
        <v>125.05383524880459</v>
      </c>
      <c r="F31">
        <v>1336.2245121674293</v>
      </c>
      <c r="G31">
        <v>1331.2249999999999</v>
      </c>
      <c r="H31" s="11">
        <v>1664.7479182908987</v>
      </c>
      <c r="I31">
        <v>0.37415210706770052</v>
      </c>
    </row>
    <row r="32" spans="1:9" x14ac:dyDescent="0.3">
      <c r="A32" s="1">
        <v>45566</v>
      </c>
      <c r="B32">
        <v>1102</v>
      </c>
      <c r="E32">
        <v>76.620839674639754</v>
      </c>
      <c r="F32">
        <v>1438.2510093591991</v>
      </c>
      <c r="G32">
        <v>1335.6824999999999</v>
      </c>
      <c r="H32" s="11">
        <v>1023.4111468872201</v>
      </c>
      <c r="I32">
        <v>7.1314748741179619</v>
      </c>
    </row>
    <row r="33" spans="1:9" x14ac:dyDescent="0.3">
      <c r="A33" s="1">
        <v>45597</v>
      </c>
      <c r="B33">
        <v>1131</v>
      </c>
      <c r="E33">
        <v>86.775999931486155</v>
      </c>
      <c r="F33">
        <v>1303.3557676004646</v>
      </c>
      <c r="G33">
        <v>1340.1399999999999</v>
      </c>
      <c r="H33" s="11">
        <v>1162.9198854818185</v>
      </c>
      <c r="I33">
        <v>2.8222710417169306</v>
      </c>
    </row>
    <row r="34" spans="1:9" x14ac:dyDescent="0.3">
      <c r="A34" s="1">
        <v>45627</v>
      </c>
      <c r="B34">
        <v>1526</v>
      </c>
      <c r="E34">
        <v>111.81692047146947</v>
      </c>
      <c r="F34">
        <v>1364.730841777533</v>
      </c>
      <c r="G34">
        <v>1344.5975000000001</v>
      </c>
      <c r="H34" s="11">
        <v>1503.4875172363668</v>
      </c>
      <c r="I34">
        <v>1.4752609936850076</v>
      </c>
    </row>
    <row r="35" spans="1:9" x14ac:dyDescent="0.3">
      <c r="A35" s="1">
        <v>45658</v>
      </c>
      <c r="B35">
        <v>1373</v>
      </c>
      <c r="E35">
        <v>107.69248842909357</v>
      </c>
      <c r="F35">
        <v>1274.9264317575917</v>
      </c>
      <c r="G35">
        <v>1349.0550000000001</v>
      </c>
      <c r="H35" s="11">
        <v>1452.8308997771082</v>
      </c>
      <c r="I35">
        <v>5.8143408431979786</v>
      </c>
    </row>
    <row r="36" spans="1:9" x14ac:dyDescent="0.3">
      <c r="A36" s="1">
        <v>45689</v>
      </c>
      <c r="B36">
        <v>1219</v>
      </c>
      <c r="E36">
        <v>95.970206079425722</v>
      </c>
      <c r="F36">
        <v>1270.1858730939327</v>
      </c>
      <c r="G36">
        <v>1353.5125</v>
      </c>
      <c r="H36" s="11">
        <v>1298.9687355607871</v>
      </c>
      <c r="I36">
        <v>6.5601915964550521</v>
      </c>
    </row>
    <row r="37" spans="1:9" x14ac:dyDescent="0.3">
      <c r="A37" s="1">
        <v>45717</v>
      </c>
      <c r="B37">
        <v>1352</v>
      </c>
      <c r="E37">
        <v>96.817828348634237</v>
      </c>
      <c r="F37">
        <v>1396.4370230775496</v>
      </c>
      <c r="G37">
        <v>1357.97</v>
      </c>
      <c r="H37" s="11">
        <v>1314.7570636259486</v>
      </c>
      <c r="I37">
        <v>2.7546550572523221</v>
      </c>
    </row>
    <row r="38" spans="1:9" x14ac:dyDescent="0.3">
      <c r="A38" s="1">
        <v>45748</v>
      </c>
      <c r="E38">
        <v>87.332359602066802</v>
      </c>
      <c r="G38">
        <v>1362.4275</v>
      </c>
      <c r="H38" s="11">
        <v>1189.8400836174487</v>
      </c>
    </row>
    <row r="39" spans="1:9" x14ac:dyDescent="0.3">
      <c r="A39" s="1">
        <v>45778</v>
      </c>
      <c r="E39">
        <v>90.98389504983237</v>
      </c>
      <c r="G39">
        <v>1366.885</v>
      </c>
      <c r="H39" s="11">
        <v>1243.6452138519012</v>
      </c>
    </row>
    <row r="40" spans="1:9" x14ac:dyDescent="0.3">
      <c r="A40" s="1">
        <v>45809</v>
      </c>
      <c r="E40">
        <v>80.850926379852453</v>
      </c>
      <c r="G40">
        <v>1371.3425</v>
      </c>
      <c r="H40" s="11">
        <v>1108.7431150906282</v>
      </c>
    </row>
    <row r="41" spans="1:9" x14ac:dyDescent="0.3">
      <c r="A41" s="1">
        <v>45839</v>
      </c>
      <c r="E41">
        <v>117.99200290508919</v>
      </c>
      <c r="G41">
        <v>1375.8</v>
      </c>
      <c r="H41" s="11">
        <v>1623.3339759682171</v>
      </c>
    </row>
    <row r="42" spans="1:9" x14ac:dyDescent="0.3">
      <c r="A42" s="1">
        <v>45870</v>
      </c>
      <c r="E42">
        <v>122.09269787960591</v>
      </c>
      <c r="G42">
        <v>1380.2574999999999</v>
      </c>
      <c r="H42" s="11">
        <v>1685.1936194356012</v>
      </c>
    </row>
    <row r="43" spans="1:9" x14ac:dyDescent="0.3">
      <c r="A43" s="1">
        <v>45901</v>
      </c>
      <c r="E43">
        <v>125.05383524880459</v>
      </c>
      <c r="G43">
        <v>1384.7149999999999</v>
      </c>
      <c r="H43" s="11">
        <v>1731.6392147654844</v>
      </c>
    </row>
    <row r="44" spans="1:9" x14ac:dyDescent="0.3">
      <c r="A44" s="1">
        <v>45931</v>
      </c>
      <c r="E44">
        <v>76.620839674639754</v>
      </c>
      <c r="G44">
        <v>1389.1724999999999</v>
      </c>
      <c r="H44" s="11">
        <v>1064.395634029185</v>
      </c>
    </row>
    <row r="45" spans="1:9" x14ac:dyDescent="0.3">
      <c r="A45" s="1">
        <v>45962</v>
      </c>
      <c r="E45">
        <v>86.775999931486155</v>
      </c>
      <c r="G45">
        <v>1393.63</v>
      </c>
      <c r="H45" s="11">
        <v>1209.3363678451706</v>
      </c>
    </row>
    <row r="46" spans="1:9" x14ac:dyDescent="0.3">
      <c r="A46" s="1">
        <v>45992</v>
      </c>
      <c r="E46">
        <v>111.81692047146947</v>
      </c>
      <c r="G46">
        <v>1398.0875000000001</v>
      </c>
      <c r="H46" s="11">
        <v>1563.2983879965559</v>
      </c>
    </row>
    <row r="47" spans="1:9" x14ac:dyDescent="0.3">
      <c r="A47" s="1">
        <v>46023</v>
      </c>
      <c r="E47">
        <v>107.69248842909357</v>
      </c>
      <c r="G47">
        <v>1402.5450000000001</v>
      </c>
      <c r="H47" s="11">
        <v>1510.4356118378305</v>
      </c>
    </row>
    <row r="48" spans="1:9" x14ac:dyDescent="0.3">
      <c r="A48" s="1">
        <v>46054</v>
      </c>
      <c r="E48">
        <v>95.970206079425722</v>
      </c>
      <c r="G48">
        <v>1407.0025000000001</v>
      </c>
      <c r="H48" s="11">
        <v>1350.303198792672</v>
      </c>
    </row>
    <row r="49" spans="1:9" x14ac:dyDescent="0.3">
      <c r="A49" s="1">
        <v>46082</v>
      </c>
      <c r="E49">
        <v>96.817828348634237</v>
      </c>
      <c r="G49">
        <v>1411.46</v>
      </c>
      <c r="H49" s="11">
        <v>1366.5449200096327</v>
      </c>
    </row>
    <row r="50" spans="1:9" x14ac:dyDescent="0.3">
      <c r="H50" t="s">
        <v>48</v>
      </c>
      <c r="I50">
        <v>4.2345497702117765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AA57-5827-4227-8AAD-C5885EB2C271}">
  <dimension ref="A1:AC72"/>
  <sheetViews>
    <sheetView topLeftCell="C50" zoomScaleNormal="100" workbookViewId="0">
      <selection activeCell="C60" activeCellId="1" sqref="J60:J71 C60:C71"/>
    </sheetView>
  </sheetViews>
  <sheetFormatPr defaultRowHeight="14.4" x14ac:dyDescent="0.3"/>
  <cols>
    <col min="1" max="1" width="9.6640625" bestFit="1" customWidth="1"/>
    <col min="2" max="2" width="9.6640625" customWidth="1"/>
    <col min="3" max="3" width="11.109375" bestFit="1" customWidth="1"/>
    <col min="4" max="4" width="12.44140625" bestFit="1" customWidth="1"/>
    <col min="5" max="5" width="7.5546875" bestFit="1" customWidth="1"/>
    <col min="6" max="6" width="10" bestFit="1" customWidth="1"/>
    <col min="7" max="7" width="10.5546875" bestFit="1" customWidth="1"/>
    <col min="8" max="8" width="12.6640625" bestFit="1" customWidth="1"/>
    <col min="9" max="9" width="14.44140625" bestFit="1" customWidth="1"/>
    <col min="10" max="11" width="7.6640625" bestFit="1" customWidth="1"/>
    <col min="13" max="13" width="22.5546875" style="2" bestFit="1" customWidth="1"/>
    <col min="14" max="14" width="12" bestFit="1" customWidth="1"/>
    <col min="15" max="15" width="12.6640625" bestFit="1" customWidth="1"/>
    <col min="16" max="16" width="12" bestFit="1" customWidth="1"/>
    <col min="17" max="17" width="7.5546875" bestFit="1" customWidth="1"/>
    <col min="18" max="18" width="11.109375" bestFit="1" customWidth="1"/>
    <col min="19" max="19" width="12" bestFit="1" customWidth="1"/>
    <col min="20" max="20" width="8.5546875" bestFit="1" customWidth="1"/>
    <col min="21" max="21" width="10.5546875" bestFit="1" customWidth="1"/>
    <col min="22" max="22" width="9.77734375" bestFit="1" customWidth="1"/>
    <col min="23" max="23" width="7" bestFit="1" customWidth="1"/>
    <col min="24" max="24" width="12.6640625" style="3" bestFit="1" customWidth="1"/>
    <col min="25" max="25" width="13.6640625" style="3" bestFit="1" customWidth="1"/>
    <col min="26" max="26" width="9" style="3" bestFit="1" customWidth="1"/>
    <col min="27" max="27" width="12" style="3" bestFit="1" customWidth="1"/>
    <col min="28" max="28" width="12.6640625" style="3" bestFit="1" customWidth="1"/>
    <col min="29" max="29" width="12" style="7" bestFit="1" customWidth="1"/>
  </cols>
  <sheetData>
    <row r="1" spans="1:29" x14ac:dyDescent="0.3">
      <c r="B1" t="s">
        <v>1</v>
      </c>
      <c r="F1" s="2"/>
      <c r="H1" s="2" t="s">
        <v>40</v>
      </c>
      <c r="K1" s="2" t="s">
        <v>41</v>
      </c>
      <c r="M1" s="2" t="s">
        <v>42</v>
      </c>
      <c r="N1" s="2" t="s">
        <v>43</v>
      </c>
    </row>
    <row r="2" spans="1:29" x14ac:dyDescent="0.3">
      <c r="A2" t="s">
        <v>0</v>
      </c>
      <c r="B2" t="s">
        <v>2</v>
      </c>
      <c r="C2" t="s">
        <v>3</v>
      </c>
      <c r="D2" t="s">
        <v>4</v>
      </c>
      <c r="F2" s="2" t="s">
        <v>34</v>
      </c>
      <c r="G2" t="s">
        <v>2</v>
      </c>
      <c r="H2" t="s">
        <v>3</v>
      </c>
      <c r="I2" t="s">
        <v>4</v>
      </c>
      <c r="J2" s="2"/>
      <c r="K2" s="2"/>
      <c r="M2"/>
    </row>
    <row r="3" spans="1:29" x14ac:dyDescent="0.3">
      <c r="A3" t="s">
        <v>5</v>
      </c>
      <c r="C3">
        <v>1131</v>
      </c>
      <c r="D3">
        <v>1137</v>
      </c>
      <c r="F3" s="2" t="s">
        <v>23</v>
      </c>
      <c r="H3" s="3">
        <v>1262.2916666666665</v>
      </c>
      <c r="I3" s="3">
        <v>1319.3333333333335</v>
      </c>
      <c r="J3" s="4"/>
      <c r="K3" s="4">
        <f>100*C3/H3</f>
        <v>89.598943720085828</v>
      </c>
      <c r="L3">
        <f>100*D3/I3</f>
        <v>86.179888832743799</v>
      </c>
      <c r="M3" s="4">
        <f>AVERAGE(J3:L3)</f>
        <v>87.889416276414806</v>
      </c>
      <c r="N3">
        <f t="shared" ref="N3:N14" si="0">M3*($L$15/$M$15)</f>
        <v>87.332359602066802</v>
      </c>
      <c r="O3">
        <v>87.332359602066802</v>
      </c>
      <c r="AC3" s="8"/>
    </row>
    <row r="4" spans="1:29" x14ac:dyDescent="0.3">
      <c r="A4" t="s">
        <v>7</v>
      </c>
      <c r="C4">
        <v>1175</v>
      </c>
      <c r="D4">
        <v>1192</v>
      </c>
      <c r="F4" s="2" t="s">
        <v>7</v>
      </c>
      <c r="H4" s="3">
        <v>1256.625</v>
      </c>
      <c r="I4" s="3">
        <v>1330</v>
      </c>
      <c r="J4" s="4"/>
      <c r="K4" s="4">
        <f t="shared" ref="K4:K14" si="1">100*C4/H4</f>
        <v>93.504426539341495</v>
      </c>
      <c r="L4">
        <f t="shared" ref="L4:L8" si="2">100*D4/I4</f>
        <v>89.624060150375939</v>
      </c>
      <c r="M4" s="4">
        <f t="shared" ref="M4:M14" si="3">AVERAGE(J4:L4)</f>
        <v>91.56424334485871</v>
      </c>
      <c r="N4">
        <f t="shared" si="0"/>
        <v>90.98389504983237</v>
      </c>
      <c r="O4">
        <v>90.98389504983237</v>
      </c>
      <c r="AC4" s="8"/>
    </row>
    <row r="5" spans="1:29" x14ac:dyDescent="0.3">
      <c r="A5" t="s">
        <v>8</v>
      </c>
      <c r="C5">
        <v>985</v>
      </c>
      <c r="D5">
        <v>1129</v>
      </c>
      <c r="F5" s="2" t="s">
        <v>24</v>
      </c>
      <c r="H5" s="3">
        <v>1259.9583333333335</v>
      </c>
      <c r="I5" s="3">
        <v>1335.2083333333333</v>
      </c>
      <c r="J5" s="4"/>
      <c r="K5" s="4">
        <f t="shared" si="1"/>
        <v>78.177188399087257</v>
      </c>
      <c r="L5">
        <f t="shared" si="2"/>
        <v>84.556092994226873</v>
      </c>
      <c r="M5" s="4">
        <f t="shared" si="3"/>
        <v>81.366640696657072</v>
      </c>
      <c r="N5">
        <f t="shared" si="0"/>
        <v>80.850926379852453</v>
      </c>
      <c r="O5">
        <v>80.850926379852453</v>
      </c>
      <c r="AC5" s="8"/>
    </row>
    <row r="6" spans="1:29" x14ac:dyDescent="0.3">
      <c r="A6" t="s">
        <v>9</v>
      </c>
      <c r="C6">
        <v>1549</v>
      </c>
      <c r="D6">
        <v>1547</v>
      </c>
      <c r="F6" s="2" t="s">
        <v>25</v>
      </c>
      <c r="H6" s="3">
        <v>1275.9583333333335</v>
      </c>
      <c r="I6" s="3">
        <v>1332.5833333333333</v>
      </c>
      <c r="J6" s="4"/>
      <c r="K6" s="4">
        <f t="shared" si="1"/>
        <v>121.39894850275935</v>
      </c>
      <c r="L6">
        <f t="shared" si="2"/>
        <v>116.09030079419674</v>
      </c>
      <c r="M6" s="4">
        <f t="shared" si="3"/>
        <v>118.74462464847804</v>
      </c>
      <c r="N6">
        <f t="shared" si="0"/>
        <v>117.99200290508919</v>
      </c>
      <c r="O6">
        <v>117.99200290508919</v>
      </c>
      <c r="AC6" s="8"/>
    </row>
    <row r="7" spans="1:29" x14ac:dyDescent="0.3">
      <c r="A7" t="s">
        <v>10</v>
      </c>
      <c r="C7">
        <v>1583</v>
      </c>
      <c r="D7">
        <v>1629</v>
      </c>
      <c r="F7" s="2" t="s">
        <v>26</v>
      </c>
      <c r="H7" s="3">
        <v>1286.6666666666665</v>
      </c>
      <c r="I7" s="3">
        <v>1327.5</v>
      </c>
      <c r="J7" s="4"/>
      <c r="K7" s="4">
        <f t="shared" si="1"/>
        <v>123.03108808290158</v>
      </c>
      <c r="L7">
        <f t="shared" si="2"/>
        <v>122.71186440677967</v>
      </c>
      <c r="M7" s="4">
        <f t="shared" si="3"/>
        <v>122.87147624484062</v>
      </c>
      <c r="N7">
        <f t="shared" si="0"/>
        <v>122.09269787960591</v>
      </c>
      <c r="O7">
        <v>122.09269787960591</v>
      </c>
      <c r="AC7" s="8"/>
    </row>
    <row r="8" spans="1:29" x14ac:dyDescent="0.3">
      <c r="A8" t="s">
        <v>11</v>
      </c>
      <c r="C8">
        <v>1626</v>
      </c>
      <c r="D8">
        <v>1671</v>
      </c>
      <c r="F8" s="2" t="s">
        <v>27</v>
      </c>
      <c r="H8" s="3">
        <v>1289.5</v>
      </c>
      <c r="I8" s="3">
        <v>1330.3333333333335</v>
      </c>
      <c r="J8" s="4"/>
      <c r="K8" s="4">
        <f t="shared" si="1"/>
        <v>126.09538580845289</v>
      </c>
      <c r="L8">
        <f t="shared" si="2"/>
        <v>125.60761713856175</v>
      </c>
      <c r="M8" s="4">
        <f t="shared" si="3"/>
        <v>125.85150147350731</v>
      </c>
      <c r="N8">
        <f t="shared" si="0"/>
        <v>125.05383524880459</v>
      </c>
      <c r="O8">
        <v>125.05383524880459</v>
      </c>
      <c r="AC8" s="8"/>
    </row>
    <row r="9" spans="1:29" x14ac:dyDescent="0.3">
      <c r="A9" t="s">
        <v>12</v>
      </c>
      <c r="B9">
        <v>987</v>
      </c>
      <c r="C9">
        <v>932</v>
      </c>
      <c r="F9" s="2" t="s">
        <v>28</v>
      </c>
      <c r="G9" s="3">
        <v>1203.125</v>
      </c>
      <c r="H9" s="3">
        <v>1291.1666666666667</v>
      </c>
      <c r="J9" s="4">
        <f>100*B9/G9</f>
        <v>82.036363636363632</v>
      </c>
      <c r="K9" s="4">
        <f t="shared" si="1"/>
        <v>72.182780431134631</v>
      </c>
      <c r="M9" s="4">
        <f t="shared" si="3"/>
        <v>77.109572033749131</v>
      </c>
      <c r="N9">
        <f t="shared" si="0"/>
        <v>76.620839674639754</v>
      </c>
      <c r="O9">
        <v>76.620839674639754</v>
      </c>
      <c r="AC9" s="8"/>
    </row>
    <row r="10" spans="1:29" x14ac:dyDescent="0.3">
      <c r="A10" t="s">
        <v>13</v>
      </c>
      <c r="B10">
        <v>1126</v>
      </c>
      <c r="C10">
        <v>1045</v>
      </c>
      <c r="F10" s="2" t="s">
        <v>29</v>
      </c>
      <c r="G10" s="3">
        <v>1200.625</v>
      </c>
      <c r="H10" s="3">
        <v>1292.125</v>
      </c>
      <c r="J10" s="4">
        <f t="shared" ref="J10:J14" si="4">100*B10/G10</f>
        <v>93.784487246225922</v>
      </c>
      <c r="K10" s="4">
        <f t="shared" si="1"/>
        <v>80.874528393150811</v>
      </c>
      <c r="M10" s="4">
        <f t="shared" si="3"/>
        <v>87.329507819688359</v>
      </c>
      <c r="N10">
        <f t="shared" si="0"/>
        <v>86.775999931486155</v>
      </c>
      <c r="O10">
        <v>86.775999931486155</v>
      </c>
      <c r="AC10" s="8"/>
    </row>
    <row r="11" spans="1:29" x14ac:dyDescent="0.3">
      <c r="A11" t="s">
        <v>14</v>
      </c>
      <c r="B11">
        <v>1326</v>
      </c>
      <c r="C11">
        <v>1487</v>
      </c>
      <c r="F11" s="2" t="s">
        <v>30</v>
      </c>
      <c r="G11" s="3">
        <v>1199.2083333333333</v>
      </c>
      <c r="H11" s="3">
        <v>1298.8333333333333</v>
      </c>
      <c r="J11" s="4">
        <f t="shared" si="4"/>
        <v>110.57294743059659</v>
      </c>
      <c r="K11" s="4">
        <f t="shared" si="1"/>
        <v>114.48736045168742</v>
      </c>
      <c r="M11" s="4">
        <f t="shared" si="3"/>
        <v>112.530153941142</v>
      </c>
      <c r="N11">
        <f t="shared" si="0"/>
        <v>111.81692047146947</v>
      </c>
      <c r="O11">
        <v>111.81692047146947</v>
      </c>
      <c r="AC11" s="8"/>
    </row>
    <row r="12" spans="1:29" x14ac:dyDescent="0.3">
      <c r="A12" t="s">
        <v>15</v>
      </c>
      <c r="B12">
        <v>1252</v>
      </c>
      <c r="C12">
        <v>1475</v>
      </c>
      <c r="F12" s="2" t="s">
        <v>31</v>
      </c>
      <c r="G12" s="3">
        <v>1207.2083333333333</v>
      </c>
      <c r="H12" s="3">
        <v>1304.75</v>
      </c>
      <c r="J12" s="4">
        <f t="shared" si="4"/>
        <v>103.7103510164636</v>
      </c>
      <c r="K12" s="4">
        <f t="shared" si="1"/>
        <v>113.04847671967809</v>
      </c>
      <c r="M12" s="4">
        <f t="shared" si="3"/>
        <v>108.37941386807086</v>
      </c>
      <c r="N12">
        <f t="shared" si="0"/>
        <v>107.69248842909357</v>
      </c>
      <c r="O12">
        <v>107.69248842909357</v>
      </c>
      <c r="AC12" s="8"/>
    </row>
    <row r="13" spans="1:29" x14ac:dyDescent="0.3">
      <c r="A13" t="s">
        <v>16</v>
      </c>
      <c r="B13">
        <v>1205</v>
      </c>
      <c r="C13">
        <v>1239</v>
      </c>
      <c r="F13" s="2" t="s">
        <v>32</v>
      </c>
      <c r="G13" s="3">
        <v>1225.375</v>
      </c>
      <c r="H13" s="3">
        <v>1306.5833333333335</v>
      </c>
      <c r="J13" s="4">
        <f t="shared" si="4"/>
        <v>98.337243700907891</v>
      </c>
      <c r="K13" s="4">
        <f t="shared" si="1"/>
        <v>94.827476242107267</v>
      </c>
      <c r="M13" s="4">
        <f t="shared" si="3"/>
        <v>96.582359971507572</v>
      </c>
      <c r="N13">
        <f t="shared" si="0"/>
        <v>95.970206079425722</v>
      </c>
      <c r="O13">
        <v>95.970206079425722</v>
      </c>
      <c r="AC13" s="8"/>
    </row>
    <row r="14" spans="1:29" x14ac:dyDescent="0.3">
      <c r="A14" t="s">
        <v>6</v>
      </c>
      <c r="B14">
        <v>1230</v>
      </c>
      <c r="C14">
        <v>1264</v>
      </c>
      <c r="F14" s="2" t="s">
        <v>33</v>
      </c>
      <c r="G14" s="3">
        <v>1249.875</v>
      </c>
      <c r="H14" s="3">
        <v>1310.375</v>
      </c>
      <c r="J14" s="4">
        <f t="shared" si="4"/>
        <v>98.409840984098409</v>
      </c>
      <c r="K14" s="4">
        <f t="shared" si="1"/>
        <v>96.460936754745774</v>
      </c>
      <c r="M14" s="4">
        <f t="shared" si="3"/>
        <v>97.435388869422098</v>
      </c>
      <c r="N14">
        <f t="shared" si="0"/>
        <v>96.817828348634237</v>
      </c>
      <c r="O14">
        <v>96.817828348634237</v>
      </c>
      <c r="AC14" s="8"/>
    </row>
    <row r="15" spans="1:29" x14ac:dyDescent="0.3">
      <c r="A15" s="3"/>
      <c r="B15" s="3"/>
      <c r="C15" s="3"/>
      <c r="F15" s="2" t="s">
        <v>35</v>
      </c>
      <c r="J15" s="5"/>
      <c r="K15" s="5"/>
      <c r="L15">
        <v>1200</v>
      </c>
      <c r="M15" s="5">
        <f>SUM(M3:M14)</f>
        <v>1207.6542991883364</v>
      </c>
      <c r="AC15" s="8"/>
    </row>
    <row r="16" spans="1:29" x14ac:dyDescent="0.3">
      <c r="A16" s="3"/>
      <c r="B16" s="3"/>
      <c r="C16" s="3"/>
      <c r="F16" s="2"/>
      <c r="M16"/>
      <c r="AC16" s="8"/>
    </row>
    <row r="17" spans="1:29" x14ac:dyDescent="0.3">
      <c r="G17" s="3"/>
      <c r="H17" s="3"/>
      <c r="I17" s="3"/>
      <c r="J17" s="3"/>
      <c r="AC17" s="8"/>
    </row>
    <row r="18" spans="1:29" x14ac:dyDescent="0.3">
      <c r="G18" s="3"/>
      <c r="H18" s="3"/>
      <c r="I18" s="3"/>
      <c r="J18" s="3"/>
      <c r="AC18" s="8"/>
    </row>
    <row r="19" spans="1:29" x14ac:dyDescent="0.3">
      <c r="G19" s="3"/>
      <c r="H19" s="3"/>
      <c r="I19" s="3"/>
      <c r="J19" s="3"/>
      <c r="AC19" s="8"/>
    </row>
    <row r="20" spans="1:29" x14ac:dyDescent="0.3">
      <c r="G20" s="3"/>
      <c r="H20" s="3"/>
      <c r="I20" s="3"/>
      <c r="J20" s="3"/>
      <c r="AC20" s="8"/>
    </row>
    <row r="21" spans="1:29" x14ac:dyDescent="0.3">
      <c r="G21" s="3"/>
      <c r="H21" s="3"/>
      <c r="I21" s="3"/>
      <c r="J21" s="3"/>
      <c r="AC21" s="8"/>
    </row>
    <row r="22" spans="1:29" x14ac:dyDescent="0.3">
      <c r="G22" s="3"/>
      <c r="H22" s="3"/>
      <c r="I22" s="3"/>
      <c r="J22" s="3"/>
      <c r="AC22" s="8"/>
    </row>
    <row r="23" spans="1:29" s="2" customFormat="1" x14ac:dyDescent="0.3">
      <c r="A23" s="2" t="s">
        <v>19</v>
      </c>
      <c r="B23" s="2" t="s">
        <v>45</v>
      </c>
      <c r="C23" s="2" t="s">
        <v>18</v>
      </c>
      <c r="D23" s="2" t="s">
        <v>17</v>
      </c>
      <c r="E23" s="2" t="s">
        <v>37</v>
      </c>
      <c r="F23" s="2" t="s">
        <v>38</v>
      </c>
      <c r="G23" s="6" t="s">
        <v>43</v>
      </c>
      <c r="H23" s="6" t="s">
        <v>44</v>
      </c>
      <c r="I23" s="6" t="s">
        <v>36</v>
      </c>
      <c r="J23" s="6" t="s">
        <v>46</v>
      </c>
      <c r="K23" s="2" t="s">
        <v>47</v>
      </c>
      <c r="X23" s="6"/>
      <c r="Y23" s="6"/>
      <c r="Z23" s="6"/>
      <c r="AA23" s="6"/>
      <c r="AB23" s="6"/>
      <c r="AC23" s="9"/>
    </row>
    <row r="24" spans="1:29" x14ac:dyDescent="0.3">
      <c r="A24" t="s">
        <v>20</v>
      </c>
      <c r="B24">
        <v>1</v>
      </c>
      <c r="C24" s="1">
        <v>44652</v>
      </c>
      <c r="D24">
        <v>1166</v>
      </c>
      <c r="G24">
        <v>87.332359602066802</v>
      </c>
      <c r="H24" s="3">
        <f>D24/G24*100</f>
        <v>1335.1293899683039</v>
      </c>
      <c r="I24" s="3">
        <f t="shared" ref="I24:I70" si="5">4.4575*B24+1197.5</f>
        <v>1201.9575</v>
      </c>
      <c r="J24" s="3">
        <f>I24*G24/100</f>
        <v>1049.6978461640119</v>
      </c>
      <c r="K24">
        <f>ABS((D24-J24)/D24)*100</f>
        <v>9.974455732074448</v>
      </c>
      <c r="AC24" s="8"/>
    </row>
    <row r="25" spans="1:29" x14ac:dyDescent="0.3">
      <c r="B25">
        <v>2</v>
      </c>
      <c r="C25" s="1">
        <v>44682</v>
      </c>
      <c r="D25">
        <v>1200</v>
      </c>
      <c r="G25">
        <v>90.98389504983237</v>
      </c>
      <c r="H25" s="3">
        <f t="shared" ref="H25:H35" si="6">D25/G25*100</f>
        <v>1318.9147368803606</v>
      </c>
      <c r="I25" s="3">
        <f t="shared" si="5"/>
        <v>1206.415</v>
      </c>
      <c r="J25" s="3">
        <f t="shared" ref="J25:J35" si="7">I25*G25/100</f>
        <v>1097.6433574654352</v>
      </c>
      <c r="K25">
        <f t="shared" ref="K25:K59" si="8">ABS((D25-J25)/D25)*100</f>
        <v>8.5297202112137338</v>
      </c>
      <c r="AC25" s="8"/>
    </row>
    <row r="26" spans="1:29" x14ac:dyDescent="0.3">
      <c r="B26">
        <v>3</v>
      </c>
      <c r="C26" s="1">
        <v>44713</v>
      </c>
      <c r="D26">
        <v>994</v>
      </c>
      <c r="G26">
        <v>80.850926379852453</v>
      </c>
      <c r="H26" s="3">
        <f t="shared" si="6"/>
        <v>1229.4231426984597</v>
      </c>
      <c r="I26" s="3">
        <f t="shared" si="5"/>
        <v>1210.8724999999999</v>
      </c>
      <c r="J26" s="3">
        <f t="shared" si="7"/>
        <v>979.00163352887887</v>
      </c>
      <c r="K26">
        <f t="shared" si="8"/>
        <v>1.5088899870343189</v>
      </c>
      <c r="AC26" s="8"/>
    </row>
    <row r="27" spans="1:29" x14ac:dyDescent="0.3">
      <c r="B27">
        <v>4</v>
      </c>
      <c r="C27" s="1">
        <v>44743</v>
      </c>
      <c r="D27">
        <v>1348</v>
      </c>
      <c r="G27">
        <v>117.99200290508919</v>
      </c>
      <c r="H27" s="3">
        <f t="shared" si="6"/>
        <v>1142.4503074876259</v>
      </c>
      <c r="I27" s="3">
        <f t="shared" si="5"/>
        <v>1215.33</v>
      </c>
      <c r="J27" s="3">
        <f t="shared" si="7"/>
        <v>1433.9922089064203</v>
      </c>
      <c r="K27">
        <f t="shared" si="8"/>
        <v>6.3792439841558064</v>
      </c>
      <c r="AC27" s="8"/>
    </row>
    <row r="28" spans="1:29" x14ac:dyDescent="0.3">
      <c r="B28">
        <v>5</v>
      </c>
      <c r="C28" s="1">
        <v>44774</v>
      </c>
      <c r="D28">
        <v>1348</v>
      </c>
      <c r="G28">
        <v>122.09269787960591</v>
      </c>
      <c r="H28" s="3">
        <f t="shared" si="6"/>
        <v>1104.0791328317162</v>
      </c>
      <c r="I28" s="3">
        <f t="shared" si="5"/>
        <v>1219.7874999999999</v>
      </c>
      <c r="J28" s="3">
        <f t="shared" si="7"/>
        <v>1489.2714671481976</v>
      </c>
      <c r="K28">
        <f t="shared" si="8"/>
        <v>10.480079165296562</v>
      </c>
      <c r="AC28" s="8"/>
    </row>
    <row r="29" spans="1:29" x14ac:dyDescent="0.3">
      <c r="B29">
        <v>6</v>
      </c>
      <c r="C29" s="1">
        <v>44805</v>
      </c>
      <c r="D29">
        <v>1273</v>
      </c>
      <c r="E29" s="3">
        <f>AVERAGE(D24:D35)</f>
        <v>1204.5833333333333</v>
      </c>
      <c r="G29">
        <v>125.05383524880459</v>
      </c>
      <c r="H29" s="3">
        <f t="shared" si="6"/>
        <v>1017.9615822795558</v>
      </c>
      <c r="I29" s="3">
        <f t="shared" si="5"/>
        <v>1224.2449999999999</v>
      </c>
      <c r="J29" s="3">
        <f t="shared" si="7"/>
        <v>1530.9653253417275</v>
      </c>
      <c r="K29">
        <f t="shared" si="8"/>
        <v>20.264361770756288</v>
      </c>
      <c r="AC29" s="8"/>
    </row>
    <row r="30" spans="1:29" x14ac:dyDescent="0.3">
      <c r="B30">
        <v>7</v>
      </c>
      <c r="C30" s="1">
        <v>44835</v>
      </c>
      <c r="D30">
        <v>987</v>
      </c>
      <c r="E30" s="3">
        <f t="shared" ref="E30:E53" si="9">AVERAGE(D25:D36)</f>
        <v>1201.6666666666667</v>
      </c>
      <c r="F30" s="3">
        <f>AVERAGE(E29:E30)</f>
        <v>1203.125</v>
      </c>
      <c r="G30">
        <v>76.620839674639754</v>
      </c>
      <c r="H30" s="3">
        <f t="shared" si="6"/>
        <v>1288.1612942264335</v>
      </c>
      <c r="I30" s="3">
        <f t="shared" si="5"/>
        <v>1228.7025000000001</v>
      </c>
      <c r="J30" s="3">
        <f t="shared" si="7"/>
        <v>941.44217260329049</v>
      </c>
      <c r="K30">
        <f t="shared" si="8"/>
        <v>4.6157879834558777</v>
      </c>
      <c r="AC30" s="8"/>
    </row>
    <row r="31" spans="1:29" x14ac:dyDescent="0.3">
      <c r="B31">
        <v>8</v>
      </c>
      <c r="C31" s="1">
        <v>44866</v>
      </c>
      <c r="D31">
        <v>1126</v>
      </c>
      <c r="E31" s="3">
        <f t="shared" si="9"/>
        <v>1199.5833333333333</v>
      </c>
      <c r="F31" s="3">
        <f t="shared" ref="F31:F53" si="10">AVERAGE(E30:E31)</f>
        <v>1200.625</v>
      </c>
      <c r="G31">
        <v>86.775999931486155</v>
      </c>
      <c r="H31" s="3">
        <f t="shared" si="6"/>
        <v>1297.5938057631504</v>
      </c>
      <c r="I31" s="3">
        <f t="shared" si="5"/>
        <v>1233.1600000000001</v>
      </c>
      <c r="J31" s="3">
        <f t="shared" si="7"/>
        <v>1070.0869207551148</v>
      </c>
      <c r="K31">
        <f t="shared" si="8"/>
        <v>4.9656375883557047</v>
      </c>
      <c r="AC31" s="8"/>
    </row>
    <row r="32" spans="1:29" x14ac:dyDescent="0.3">
      <c r="B32">
        <v>9</v>
      </c>
      <c r="C32" s="1">
        <v>44896</v>
      </c>
      <c r="D32">
        <v>1326</v>
      </c>
      <c r="E32" s="3">
        <f t="shared" si="9"/>
        <v>1198.8333333333333</v>
      </c>
      <c r="F32" s="3">
        <f t="shared" si="10"/>
        <v>1199.2083333333333</v>
      </c>
      <c r="G32">
        <v>111.81692047146947</v>
      </c>
      <c r="H32" s="3">
        <f t="shared" si="6"/>
        <v>1185.8670355157331</v>
      </c>
      <c r="I32" s="3">
        <f t="shared" si="5"/>
        <v>1237.6175000000001</v>
      </c>
      <c r="J32" s="3">
        <f t="shared" si="7"/>
        <v>1383.8657757159888</v>
      </c>
      <c r="K32">
        <f t="shared" si="8"/>
        <v>4.3639348202103152</v>
      </c>
      <c r="AC32" s="8"/>
    </row>
    <row r="33" spans="1:29" x14ac:dyDescent="0.3">
      <c r="B33">
        <v>10</v>
      </c>
      <c r="C33" s="1">
        <v>44927</v>
      </c>
      <c r="D33">
        <v>1252</v>
      </c>
      <c r="E33" s="3">
        <f t="shared" si="9"/>
        <v>1215.5833333333333</v>
      </c>
      <c r="F33" s="3">
        <f t="shared" si="10"/>
        <v>1207.2083333333333</v>
      </c>
      <c r="G33">
        <v>107.69248842909357</v>
      </c>
      <c r="H33" s="3">
        <f t="shared" si="6"/>
        <v>1162.5694774657718</v>
      </c>
      <c r="I33" s="3">
        <f t="shared" si="5"/>
        <v>1242.075</v>
      </c>
      <c r="J33" s="3">
        <f t="shared" si="7"/>
        <v>1337.6214756556642</v>
      </c>
      <c r="K33">
        <f t="shared" si="8"/>
        <v>6.8387760108357982</v>
      </c>
      <c r="AC33" s="8"/>
    </row>
    <row r="34" spans="1:29" x14ac:dyDescent="0.3">
      <c r="B34">
        <v>11</v>
      </c>
      <c r="C34" s="1">
        <v>44958</v>
      </c>
      <c r="D34">
        <v>1205</v>
      </c>
      <c r="E34" s="3">
        <f t="shared" si="9"/>
        <v>1235.1666666666667</v>
      </c>
      <c r="F34" s="3">
        <f t="shared" si="10"/>
        <v>1225.375</v>
      </c>
      <c r="G34">
        <v>95.970206079425722</v>
      </c>
      <c r="H34" s="3">
        <f t="shared" si="6"/>
        <v>1255.5980123693098</v>
      </c>
      <c r="I34" s="3">
        <f t="shared" si="5"/>
        <v>1246.5325</v>
      </c>
      <c r="J34" s="3">
        <f t="shared" si="7"/>
        <v>1196.2998090970175</v>
      </c>
      <c r="K34">
        <f t="shared" si="8"/>
        <v>0.72200754381597609</v>
      </c>
      <c r="AC34" s="8"/>
    </row>
    <row r="35" spans="1:29" x14ac:dyDescent="0.3">
      <c r="B35">
        <v>12</v>
      </c>
      <c r="C35" s="1">
        <v>44986</v>
      </c>
      <c r="D35">
        <v>1230</v>
      </c>
      <c r="E35" s="3">
        <f t="shared" si="9"/>
        <v>1264.5833333333333</v>
      </c>
      <c r="F35" s="3">
        <f t="shared" si="10"/>
        <v>1249.875</v>
      </c>
      <c r="G35">
        <v>96.817828348634237</v>
      </c>
      <c r="H35" s="3">
        <f t="shared" si="6"/>
        <v>1270.4271733619721</v>
      </c>
      <c r="I35" s="3">
        <f t="shared" si="5"/>
        <v>1250.99</v>
      </c>
      <c r="J35" s="3">
        <f t="shared" si="7"/>
        <v>1211.1813508585794</v>
      </c>
      <c r="K35">
        <f t="shared" si="8"/>
        <v>1.5299714749122411</v>
      </c>
      <c r="AC35" s="8"/>
    </row>
    <row r="36" spans="1:29" x14ac:dyDescent="0.3">
      <c r="A36" t="s">
        <v>21</v>
      </c>
      <c r="B36">
        <v>13</v>
      </c>
      <c r="C36" s="1">
        <v>45017</v>
      </c>
      <c r="D36">
        <v>1131</v>
      </c>
      <c r="E36" s="3">
        <f t="shared" si="9"/>
        <v>1260</v>
      </c>
      <c r="F36" s="3">
        <f t="shared" si="10"/>
        <v>1262.2916666666665</v>
      </c>
      <c r="G36">
        <v>87.332359602066802</v>
      </c>
      <c r="H36" s="3">
        <f t="shared" ref="H36:H59" si="11">D36/G36*100</f>
        <v>1295.0526072505588</v>
      </c>
      <c r="I36" s="3">
        <f t="shared" si="5"/>
        <v>1255.4475</v>
      </c>
      <c r="J36" s="3">
        <f t="shared" ref="J36:J70" si="12">I36*G36/100</f>
        <v>1096.4119253151575</v>
      </c>
      <c r="K36">
        <f t="shared" si="8"/>
        <v>3.0581852064405366</v>
      </c>
      <c r="AC36" s="8"/>
    </row>
    <row r="37" spans="1:29" x14ac:dyDescent="0.3">
      <c r="B37">
        <v>14</v>
      </c>
      <c r="C37" s="1">
        <v>45047</v>
      </c>
      <c r="D37">
        <v>1175</v>
      </c>
      <c r="E37" s="3">
        <f t="shared" si="9"/>
        <v>1253.25</v>
      </c>
      <c r="F37" s="3">
        <f t="shared" si="10"/>
        <v>1256.625</v>
      </c>
      <c r="G37">
        <v>90.98389504983237</v>
      </c>
      <c r="H37" s="3">
        <f t="shared" si="11"/>
        <v>1291.4373465286865</v>
      </c>
      <c r="I37" s="3">
        <f t="shared" si="5"/>
        <v>1259.905</v>
      </c>
      <c r="J37" s="3">
        <f t="shared" si="12"/>
        <v>1146.3106429275906</v>
      </c>
      <c r="K37">
        <f t="shared" si="8"/>
        <v>2.4416474104178207</v>
      </c>
      <c r="AC37" s="8"/>
    </row>
    <row r="38" spans="1:29" x14ac:dyDescent="0.3">
      <c r="B38">
        <v>15</v>
      </c>
      <c r="C38" s="1">
        <v>45078</v>
      </c>
      <c r="D38">
        <v>985</v>
      </c>
      <c r="E38" s="3">
        <f t="shared" si="9"/>
        <v>1266.6666666666667</v>
      </c>
      <c r="F38" s="3">
        <f t="shared" si="10"/>
        <v>1259.9583333333335</v>
      </c>
      <c r="G38">
        <v>80.850926379852453</v>
      </c>
      <c r="H38" s="3">
        <f t="shared" si="11"/>
        <v>1218.2915448269443</v>
      </c>
      <c r="I38" s="3">
        <f t="shared" si="5"/>
        <v>1264.3625</v>
      </c>
      <c r="J38" s="3">
        <f t="shared" si="12"/>
        <v>1022.2487940494618</v>
      </c>
      <c r="K38">
        <f t="shared" si="8"/>
        <v>3.781603456798154</v>
      </c>
      <c r="AC38" s="8"/>
    </row>
    <row r="39" spans="1:29" x14ac:dyDescent="0.3">
      <c r="B39">
        <v>16</v>
      </c>
      <c r="C39" s="1">
        <v>45108</v>
      </c>
      <c r="D39">
        <v>1549</v>
      </c>
      <c r="E39" s="3">
        <f t="shared" si="9"/>
        <v>1285.25</v>
      </c>
      <c r="F39" s="3">
        <f t="shared" si="10"/>
        <v>1275.9583333333335</v>
      </c>
      <c r="G39">
        <v>117.99200290508919</v>
      </c>
      <c r="H39" s="3">
        <f t="shared" si="11"/>
        <v>1312.8008355328877</v>
      </c>
      <c r="I39" s="3">
        <f t="shared" si="5"/>
        <v>1268.82</v>
      </c>
      <c r="J39" s="3">
        <f t="shared" si="12"/>
        <v>1497.1061312603526</v>
      </c>
      <c r="K39">
        <f t="shared" si="8"/>
        <v>3.350152920571166</v>
      </c>
      <c r="AC39" s="8"/>
    </row>
    <row r="40" spans="1:29" x14ac:dyDescent="0.3">
      <c r="B40">
        <v>17</v>
      </c>
      <c r="C40" s="1">
        <v>45139</v>
      </c>
      <c r="D40">
        <v>1583</v>
      </c>
      <c r="E40" s="3">
        <f t="shared" si="9"/>
        <v>1288.0833333333333</v>
      </c>
      <c r="F40" s="3">
        <f t="shared" si="10"/>
        <v>1286.6666666666665</v>
      </c>
      <c r="G40">
        <v>122.09269787960591</v>
      </c>
      <c r="H40" s="3">
        <f t="shared" si="11"/>
        <v>1296.5558362556428</v>
      </c>
      <c r="I40" s="3">
        <f t="shared" si="5"/>
        <v>1273.2774999999999</v>
      </c>
      <c r="J40" s="3">
        <f t="shared" si="12"/>
        <v>1554.578851243999</v>
      </c>
      <c r="K40">
        <f t="shared" si="8"/>
        <v>1.795397899936892</v>
      </c>
      <c r="AC40" s="8"/>
    </row>
    <row r="41" spans="1:29" x14ac:dyDescent="0.3">
      <c r="B41">
        <v>18</v>
      </c>
      <c r="C41" s="1">
        <v>45170</v>
      </c>
      <c r="D41">
        <v>1626</v>
      </c>
      <c r="E41" s="3">
        <f t="shared" si="9"/>
        <v>1290.9166666666667</v>
      </c>
      <c r="F41" s="3">
        <f t="shared" si="10"/>
        <v>1289.5</v>
      </c>
      <c r="G41">
        <v>125.05383524880459</v>
      </c>
      <c r="H41" s="3">
        <f t="shared" si="11"/>
        <v>1300.2400100444286</v>
      </c>
      <c r="I41" s="3">
        <f t="shared" si="5"/>
        <v>1277.7349999999999</v>
      </c>
      <c r="J41" s="3">
        <f t="shared" si="12"/>
        <v>1597.8566218163132</v>
      </c>
      <c r="K41">
        <f t="shared" si="8"/>
        <v>1.7308350666474026</v>
      </c>
      <c r="AC41" s="8"/>
    </row>
    <row r="42" spans="1:29" x14ac:dyDescent="0.3">
      <c r="B42">
        <v>19</v>
      </c>
      <c r="C42" s="1">
        <v>45200</v>
      </c>
      <c r="D42">
        <v>932</v>
      </c>
      <c r="E42" s="3">
        <f t="shared" si="9"/>
        <v>1291.4166666666667</v>
      </c>
      <c r="F42" s="3">
        <f t="shared" si="10"/>
        <v>1291.1666666666667</v>
      </c>
      <c r="G42">
        <v>76.620839674639754</v>
      </c>
      <c r="H42" s="3">
        <f t="shared" si="11"/>
        <v>1216.379256554241</v>
      </c>
      <c r="I42" s="3">
        <f t="shared" si="5"/>
        <v>1282.1925000000001</v>
      </c>
      <c r="J42" s="3">
        <f t="shared" si="12"/>
        <v>982.42665974525551</v>
      </c>
      <c r="K42">
        <f t="shared" si="8"/>
        <v>5.4105858095767712</v>
      </c>
      <c r="AC42" s="8"/>
    </row>
    <row r="43" spans="1:29" x14ac:dyDescent="0.3">
      <c r="B43">
        <v>20</v>
      </c>
      <c r="C43" s="1">
        <v>45231</v>
      </c>
      <c r="D43">
        <v>1045</v>
      </c>
      <c r="E43" s="3">
        <f t="shared" si="9"/>
        <v>1292.8333333333333</v>
      </c>
      <c r="F43" s="3">
        <f t="shared" si="10"/>
        <v>1292.125</v>
      </c>
      <c r="G43">
        <v>86.775999931486155</v>
      </c>
      <c r="H43" s="3">
        <f t="shared" si="11"/>
        <v>1204.2500239986609</v>
      </c>
      <c r="I43" s="3">
        <f t="shared" si="5"/>
        <v>1286.6500000000001</v>
      </c>
      <c r="J43" s="3">
        <f t="shared" si="12"/>
        <v>1116.5034031184666</v>
      </c>
      <c r="K43">
        <f t="shared" si="8"/>
        <v>6.8424309204274278</v>
      </c>
      <c r="AC43" s="8"/>
    </row>
    <row r="44" spans="1:29" x14ac:dyDescent="0.3">
      <c r="B44">
        <v>21</v>
      </c>
      <c r="C44" s="1">
        <v>45261</v>
      </c>
      <c r="D44">
        <v>1487</v>
      </c>
      <c r="E44" s="3">
        <f t="shared" si="9"/>
        <v>1304.8333333333333</v>
      </c>
      <c r="F44" s="3">
        <f t="shared" si="10"/>
        <v>1298.8333333333333</v>
      </c>
      <c r="G44">
        <v>111.81692047146947</v>
      </c>
      <c r="H44" s="3">
        <f t="shared" si="11"/>
        <v>1329.8523995564822</v>
      </c>
      <c r="I44" s="3">
        <f t="shared" si="5"/>
        <v>1291.1075000000001</v>
      </c>
      <c r="J44" s="3">
        <f t="shared" si="12"/>
        <v>1443.6766464761779</v>
      </c>
      <c r="K44">
        <f t="shared" si="8"/>
        <v>2.9134736734244862</v>
      </c>
      <c r="AC44" s="8"/>
    </row>
    <row r="45" spans="1:29" x14ac:dyDescent="0.3">
      <c r="B45">
        <v>22</v>
      </c>
      <c r="C45" s="1">
        <v>45292</v>
      </c>
      <c r="D45">
        <v>1475</v>
      </c>
      <c r="E45" s="3">
        <f t="shared" si="9"/>
        <v>1304.6666666666667</v>
      </c>
      <c r="F45" s="3">
        <f t="shared" si="10"/>
        <v>1304.75</v>
      </c>
      <c r="G45">
        <v>107.69248842909357</v>
      </c>
      <c r="H45" s="3">
        <f t="shared" si="11"/>
        <v>1369.6405585159853</v>
      </c>
      <c r="I45" s="3">
        <f t="shared" si="5"/>
        <v>1295.5650000000001</v>
      </c>
      <c r="J45" s="3">
        <f t="shared" si="12"/>
        <v>1395.2261877163864</v>
      </c>
      <c r="K45">
        <f t="shared" si="8"/>
        <v>5.4083940531263428</v>
      </c>
      <c r="AC45" s="8"/>
    </row>
    <row r="46" spans="1:29" x14ac:dyDescent="0.3">
      <c r="B46">
        <v>23</v>
      </c>
      <c r="C46" s="1">
        <v>45323</v>
      </c>
      <c r="D46">
        <v>1239</v>
      </c>
      <c r="E46" s="3">
        <f t="shared" si="9"/>
        <v>1308.5</v>
      </c>
      <c r="F46" s="3">
        <f t="shared" si="10"/>
        <v>1306.5833333333335</v>
      </c>
      <c r="G46">
        <v>95.970206079425722</v>
      </c>
      <c r="H46" s="3">
        <f t="shared" si="11"/>
        <v>1291.0256741291078</v>
      </c>
      <c r="I46" s="3">
        <f t="shared" si="5"/>
        <v>1300.0225</v>
      </c>
      <c r="J46" s="3">
        <f t="shared" si="12"/>
        <v>1247.6342723289024</v>
      </c>
      <c r="K46">
        <f t="shared" si="8"/>
        <v>0.69687427997598039</v>
      </c>
      <c r="AC46" s="8"/>
    </row>
    <row r="47" spans="1:29" x14ac:dyDescent="0.3">
      <c r="B47">
        <v>24</v>
      </c>
      <c r="C47" s="1">
        <v>45352</v>
      </c>
      <c r="D47">
        <v>1264</v>
      </c>
      <c r="E47" s="3">
        <f t="shared" si="9"/>
        <v>1312.25</v>
      </c>
      <c r="F47" s="3">
        <f t="shared" si="10"/>
        <v>1310.375</v>
      </c>
      <c r="G47">
        <v>96.817828348634237</v>
      </c>
      <c r="H47" s="3">
        <f t="shared" si="11"/>
        <v>1305.5446724630347</v>
      </c>
      <c r="I47" s="3">
        <f t="shared" si="5"/>
        <v>1304.48</v>
      </c>
      <c r="J47" s="3">
        <f t="shared" si="12"/>
        <v>1262.969207242264</v>
      </c>
      <c r="K47">
        <f t="shared" si="8"/>
        <v>8.1550059947466821E-2</v>
      </c>
      <c r="AC47" s="8"/>
    </row>
    <row r="48" spans="1:29" x14ac:dyDescent="0.3">
      <c r="A48" t="s">
        <v>22</v>
      </c>
      <c r="B48">
        <v>25</v>
      </c>
      <c r="C48" s="1">
        <v>45383</v>
      </c>
      <c r="D48">
        <v>1137</v>
      </c>
      <c r="E48" s="3">
        <f t="shared" si="9"/>
        <v>1326.4166666666667</v>
      </c>
      <c r="F48" s="3">
        <f t="shared" si="10"/>
        <v>1319.3333333333335</v>
      </c>
      <c r="G48">
        <v>87.332359602066802</v>
      </c>
      <c r="H48" s="3">
        <f t="shared" si="11"/>
        <v>1301.9229128593154</v>
      </c>
      <c r="I48" s="3">
        <f t="shared" si="5"/>
        <v>1308.9375</v>
      </c>
      <c r="J48" s="3">
        <f t="shared" si="12"/>
        <v>1143.1260044663031</v>
      </c>
      <c r="K48">
        <f t="shared" si="8"/>
        <v>0.53878667249807644</v>
      </c>
      <c r="AC48" s="8"/>
    </row>
    <row r="49" spans="1:29" x14ac:dyDescent="0.3">
      <c r="B49">
        <v>26</v>
      </c>
      <c r="C49" s="1">
        <v>45413</v>
      </c>
      <c r="D49">
        <v>1192</v>
      </c>
      <c r="E49" s="3">
        <f t="shared" si="9"/>
        <v>1333.5833333333333</v>
      </c>
      <c r="F49" s="3">
        <f t="shared" si="10"/>
        <v>1330</v>
      </c>
      <c r="G49">
        <v>90.98389504983237</v>
      </c>
      <c r="H49" s="3">
        <f t="shared" si="11"/>
        <v>1310.1219719678247</v>
      </c>
      <c r="I49" s="3">
        <f t="shared" si="5"/>
        <v>1313.395</v>
      </c>
      <c r="J49" s="3">
        <f t="shared" si="12"/>
        <v>1194.9779283897458</v>
      </c>
      <c r="K49">
        <f t="shared" si="8"/>
        <v>0.24982620719343826</v>
      </c>
      <c r="AC49" s="8"/>
    </row>
    <row r="50" spans="1:29" x14ac:dyDescent="0.3">
      <c r="B50">
        <v>27</v>
      </c>
      <c r="C50" s="1">
        <v>45444</v>
      </c>
      <c r="D50">
        <v>1129</v>
      </c>
      <c r="E50" s="3">
        <f t="shared" si="9"/>
        <v>1336.8333333333333</v>
      </c>
      <c r="F50" s="3">
        <f t="shared" si="10"/>
        <v>1335.2083333333333</v>
      </c>
      <c r="G50">
        <v>80.850926379852453</v>
      </c>
      <c r="H50" s="3">
        <f t="shared" si="11"/>
        <v>1396.3971107711882</v>
      </c>
      <c r="I50" s="3">
        <f t="shared" si="5"/>
        <v>1317.8525</v>
      </c>
      <c r="J50" s="3">
        <f t="shared" si="12"/>
        <v>1065.4959545700449</v>
      </c>
      <c r="K50">
        <f t="shared" si="8"/>
        <v>5.6248047325026675</v>
      </c>
      <c r="AC50" s="8"/>
    </row>
    <row r="51" spans="1:29" x14ac:dyDescent="0.3">
      <c r="B51">
        <v>28</v>
      </c>
      <c r="C51" s="1">
        <v>45474</v>
      </c>
      <c r="D51">
        <v>1547</v>
      </c>
      <c r="E51" s="3">
        <f t="shared" si="9"/>
        <v>1328.3333333333333</v>
      </c>
      <c r="F51" s="3">
        <f t="shared" si="10"/>
        <v>1332.5833333333333</v>
      </c>
      <c r="G51">
        <v>117.99200290508919</v>
      </c>
      <c r="H51" s="3">
        <f t="shared" si="11"/>
        <v>1311.1058054030841</v>
      </c>
      <c r="I51" s="3">
        <f t="shared" si="5"/>
        <v>1322.31</v>
      </c>
      <c r="J51" s="3">
        <f t="shared" si="12"/>
        <v>1560.2200536142848</v>
      </c>
      <c r="K51">
        <f t="shared" si="8"/>
        <v>0.85456067319229345</v>
      </c>
      <c r="AB51" s="6"/>
    </row>
    <row r="52" spans="1:29" x14ac:dyDescent="0.3">
      <c r="B52">
        <v>29</v>
      </c>
      <c r="C52" s="1">
        <v>45505</v>
      </c>
      <c r="D52">
        <v>1629</v>
      </c>
      <c r="E52" s="3">
        <f t="shared" si="9"/>
        <v>1326.6666666666667</v>
      </c>
      <c r="F52" s="3">
        <f t="shared" si="10"/>
        <v>1327.5</v>
      </c>
      <c r="G52">
        <v>122.09269787960591</v>
      </c>
      <c r="H52" s="3">
        <f t="shared" si="11"/>
        <v>1334.2321271386243</v>
      </c>
      <c r="I52" s="3">
        <f t="shared" si="5"/>
        <v>1326.7674999999999</v>
      </c>
      <c r="J52" s="3">
        <f t="shared" si="12"/>
        <v>1619.8862353398001</v>
      </c>
      <c r="K52">
        <f t="shared" si="8"/>
        <v>0.55946989933700897</v>
      </c>
    </row>
    <row r="53" spans="1:29" x14ac:dyDescent="0.3">
      <c r="B53">
        <v>30</v>
      </c>
      <c r="C53" s="1">
        <v>45536</v>
      </c>
      <c r="D53">
        <v>1671</v>
      </c>
      <c r="E53" s="3">
        <f t="shared" si="9"/>
        <v>1334</v>
      </c>
      <c r="F53" s="3">
        <f t="shared" si="10"/>
        <v>1330.3333333333335</v>
      </c>
      <c r="G53">
        <v>125.05383524880459</v>
      </c>
      <c r="H53" s="3">
        <f t="shared" si="11"/>
        <v>1336.2245121674293</v>
      </c>
      <c r="I53" s="3">
        <f t="shared" si="5"/>
        <v>1331.2249999999999</v>
      </c>
      <c r="J53" s="3">
        <f t="shared" si="12"/>
        <v>1664.7479182908987</v>
      </c>
      <c r="K53">
        <f t="shared" si="8"/>
        <v>0.37415210706770052</v>
      </c>
    </row>
    <row r="54" spans="1:29" x14ac:dyDescent="0.3">
      <c r="B54">
        <v>31</v>
      </c>
      <c r="C54" s="1">
        <v>45566</v>
      </c>
      <c r="D54">
        <v>1102</v>
      </c>
      <c r="F54" s="3"/>
      <c r="G54">
        <v>76.620839674639754</v>
      </c>
      <c r="H54" s="3">
        <f t="shared" si="11"/>
        <v>1438.2510093591991</v>
      </c>
      <c r="I54" s="3">
        <f t="shared" si="5"/>
        <v>1335.6824999999999</v>
      </c>
      <c r="J54" s="3">
        <f t="shared" si="12"/>
        <v>1023.4111468872201</v>
      </c>
      <c r="K54">
        <f t="shared" si="8"/>
        <v>7.1314748741179619</v>
      </c>
    </row>
    <row r="55" spans="1:29" x14ac:dyDescent="0.3">
      <c r="B55">
        <v>32</v>
      </c>
      <c r="C55" s="1">
        <v>45597</v>
      </c>
      <c r="D55">
        <v>1131</v>
      </c>
      <c r="G55">
        <v>86.775999931486155</v>
      </c>
      <c r="H55" s="3">
        <f t="shared" si="11"/>
        <v>1303.3557676004646</v>
      </c>
      <c r="I55" s="3">
        <f t="shared" si="5"/>
        <v>1340.1399999999999</v>
      </c>
      <c r="J55" s="3">
        <f t="shared" si="12"/>
        <v>1162.9198854818185</v>
      </c>
      <c r="K55">
        <f t="shared" si="8"/>
        <v>2.8222710417169306</v>
      </c>
    </row>
    <row r="56" spans="1:29" x14ac:dyDescent="0.3">
      <c r="B56">
        <v>33</v>
      </c>
      <c r="C56" s="1">
        <v>45627</v>
      </c>
      <c r="D56">
        <v>1526</v>
      </c>
      <c r="G56">
        <v>111.81692047146947</v>
      </c>
      <c r="H56" s="3">
        <f t="shared" si="11"/>
        <v>1364.730841777533</v>
      </c>
      <c r="I56" s="3">
        <f t="shared" si="5"/>
        <v>1344.5975000000001</v>
      </c>
      <c r="J56" s="3">
        <f t="shared" si="12"/>
        <v>1503.4875172363668</v>
      </c>
      <c r="K56">
        <f t="shared" si="8"/>
        <v>1.4752609936850076</v>
      </c>
    </row>
    <row r="57" spans="1:29" x14ac:dyDescent="0.3">
      <c r="B57">
        <v>34</v>
      </c>
      <c r="C57" s="1">
        <v>45658</v>
      </c>
      <c r="D57">
        <v>1373</v>
      </c>
      <c r="G57">
        <v>107.69248842909357</v>
      </c>
      <c r="H57" s="3">
        <f t="shared" si="11"/>
        <v>1274.9264317575917</v>
      </c>
      <c r="I57" s="3">
        <f t="shared" si="5"/>
        <v>1349.0550000000001</v>
      </c>
      <c r="J57" s="3">
        <f t="shared" si="12"/>
        <v>1452.8308997771082</v>
      </c>
      <c r="K57">
        <f t="shared" si="8"/>
        <v>5.8143408431979786</v>
      </c>
    </row>
    <row r="58" spans="1:29" x14ac:dyDescent="0.3">
      <c r="B58">
        <v>35</v>
      </c>
      <c r="C58" s="1">
        <v>45689</v>
      </c>
      <c r="D58">
        <v>1219</v>
      </c>
      <c r="G58">
        <v>95.970206079425722</v>
      </c>
      <c r="H58" s="3">
        <f t="shared" si="11"/>
        <v>1270.1858730939327</v>
      </c>
      <c r="I58" s="3">
        <f t="shared" si="5"/>
        <v>1353.5125</v>
      </c>
      <c r="J58" s="3">
        <f t="shared" si="12"/>
        <v>1298.9687355607871</v>
      </c>
      <c r="K58">
        <f t="shared" si="8"/>
        <v>6.5601915964550521</v>
      </c>
    </row>
    <row r="59" spans="1:29" x14ac:dyDescent="0.3">
      <c r="B59">
        <v>36</v>
      </c>
      <c r="C59" s="1">
        <v>45717</v>
      </c>
      <c r="D59">
        <v>1352</v>
      </c>
      <c r="G59">
        <v>96.817828348634237</v>
      </c>
      <c r="H59" s="3">
        <f t="shared" si="11"/>
        <v>1396.4370230775496</v>
      </c>
      <c r="I59" s="3">
        <f t="shared" si="5"/>
        <v>1357.97</v>
      </c>
      <c r="J59" s="3">
        <f t="shared" si="12"/>
        <v>1314.7570636259486</v>
      </c>
      <c r="K59">
        <f t="shared" si="8"/>
        <v>2.7546550572523221</v>
      </c>
    </row>
    <row r="60" spans="1:29" x14ac:dyDescent="0.3">
      <c r="A60" t="s">
        <v>39</v>
      </c>
      <c r="B60">
        <v>37</v>
      </c>
      <c r="C60" s="1">
        <v>45748</v>
      </c>
      <c r="G60">
        <v>87.332359602066802</v>
      </c>
      <c r="I60" s="3">
        <f t="shared" si="5"/>
        <v>1362.4275</v>
      </c>
      <c r="J60" s="3">
        <f t="shared" si="12"/>
        <v>1189.8400836174487</v>
      </c>
    </row>
    <row r="61" spans="1:29" x14ac:dyDescent="0.3">
      <c r="B61">
        <v>38</v>
      </c>
      <c r="C61" s="1">
        <v>45778</v>
      </c>
      <c r="G61">
        <v>90.98389504983237</v>
      </c>
      <c r="I61" s="3">
        <f t="shared" si="5"/>
        <v>1366.885</v>
      </c>
      <c r="J61" s="3">
        <f t="shared" si="12"/>
        <v>1243.6452138519012</v>
      </c>
    </row>
    <row r="62" spans="1:29" x14ac:dyDescent="0.3">
      <c r="B62">
        <v>39</v>
      </c>
      <c r="C62" s="1">
        <v>45809</v>
      </c>
      <c r="G62">
        <v>80.850926379852453</v>
      </c>
      <c r="I62" s="3">
        <f t="shared" si="5"/>
        <v>1371.3425</v>
      </c>
      <c r="J62" s="3">
        <f t="shared" si="12"/>
        <v>1108.7431150906282</v>
      </c>
    </row>
    <row r="63" spans="1:29" x14ac:dyDescent="0.3">
      <c r="B63">
        <v>40</v>
      </c>
      <c r="C63" s="1">
        <v>45839</v>
      </c>
      <c r="G63">
        <v>117.99200290508919</v>
      </c>
      <c r="I63" s="3">
        <f t="shared" si="5"/>
        <v>1375.8</v>
      </c>
      <c r="J63" s="3">
        <f t="shared" si="12"/>
        <v>1623.3339759682171</v>
      </c>
    </row>
    <row r="64" spans="1:29" x14ac:dyDescent="0.3">
      <c r="B64">
        <v>41</v>
      </c>
      <c r="C64" s="1">
        <v>45870</v>
      </c>
      <c r="G64">
        <v>122.09269787960591</v>
      </c>
      <c r="I64" s="3">
        <f t="shared" si="5"/>
        <v>1380.2574999999999</v>
      </c>
      <c r="J64" s="3">
        <f t="shared" si="12"/>
        <v>1685.1936194356012</v>
      </c>
    </row>
    <row r="65" spans="2:11" x14ac:dyDescent="0.3">
      <c r="B65">
        <v>42</v>
      </c>
      <c r="C65" s="1">
        <v>45901</v>
      </c>
      <c r="G65">
        <v>125.05383524880459</v>
      </c>
      <c r="I65" s="3">
        <f t="shared" si="5"/>
        <v>1384.7149999999999</v>
      </c>
      <c r="J65" s="3">
        <f t="shared" si="12"/>
        <v>1731.6392147654844</v>
      </c>
    </row>
    <row r="66" spans="2:11" x14ac:dyDescent="0.3">
      <c r="B66">
        <v>43</v>
      </c>
      <c r="C66" s="1">
        <v>45931</v>
      </c>
      <c r="G66">
        <v>76.620839674639754</v>
      </c>
      <c r="I66" s="3">
        <f t="shared" si="5"/>
        <v>1389.1724999999999</v>
      </c>
      <c r="J66" s="3">
        <f t="shared" si="12"/>
        <v>1064.395634029185</v>
      </c>
    </row>
    <row r="67" spans="2:11" x14ac:dyDescent="0.3">
      <c r="B67">
        <v>44</v>
      </c>
      <c r="C67" s="1">
        <v>45962</v>
      </c>
      <c r="G67">
        <v>86.775999931486155</v>
      </c>
      <c r="I67" s="3">
        <f t="shared" si="5"/>
        <v>1393.63</v>
      </c>
      <c r="J67" s="3">
        <f t="shared" si="12"/>
        <v>1209.3363678451706</v>
      </c>
    </row>
    <row r="68" spans="2:11" x14ac:dyDescent="0.3">
      <c r="B68">
        <v>45</v>
      </c>
      <c r="C68" s="1">
        <v>45992</v>
      </c>
      <c r="G68">
        <v>111.81692047146947</v>
      </c>
      <c r="I68" s="3">
        <f t="shared" si="5"/>
        <v>1398.0875000000001</v>
      </c>
      <c r="J68" s="3">
        <f t="shared" si="12"/>
        <v>1563.2983879965559</v>
      </c>
    </row>
    <row r="69" spans="2:11" x14ac:dyDescent="0.3">
      <c r="B69">
        <v>46</v>
      </c>
      <c r="C69" s="1">
        <v>46023</v>
      </c>
      <c r="G69">
        <v>107.69248842909357</v>
      </c>
      <c r="I69" s="3">
        <f t="shared" si="5"/>
        <v>1402.5450000000001</v>
      </c>
      <c r="J69" s="3">
        <f t="shared" si="12"/>
        <v>1510.4356118378305</v>
      </c>
    </row>
    <row r="70" spans="2:11" x14ac:dyDescent="0.3">
      <c r="B70">
        <v>47</v>
      </c>
      <c r="C70" s="1">
        <v>46054</v>
      </c>
      <c r="G70">
        <v>95.970206079425722</v>
      </c>
      <c r="I70" s="3">
        <f t="shared" si="5"/>
        <v>1407.0025000000001</v>
      </c>
      <c r="J70" s="3">
        <f t="shared" si="12"/>
        <v>1350.303198792672</v>
      </c>
    </row>
    <row r="71" spans="2:11" x14ac:dyDescent="0.3">
      <c r="B71">
        <v>48</v>
      </c>
      <c r="C71" s="1">
        <v>46082</v>
      </c>
      <c r="G71">
        <v>96.817828348634237</v>
      </c>
      <c r="I71" s="3">
        <f>4.4575*B71+1197.5</f>
        <v>1411.46</v>
      </c>
      <c r="J71" s="3">
        <f>I71*G71/100</f>
        <v>1366.5449200096327</v>
      </c>
    </row>
    <row r="72" spans="2:11" x14ac:dyDescent="0.3">
      <c r="J72" s="2" t="s">
        <v>48</v>
      </c>
      <c r="K72">
        <f>AVERAGE(K24:K59)</f>
        <v>4.2345497702117765</v>
      </c>
    </row>
  </sheetData>
  <phoneticPr fontId="3" type="noConversion"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F222-C4EF-468E-9990-0DF9DED0E339}">
  <dimension ref="A1:Q22"/>
  <sheetViews>
    <sheetView tabSelected="1" workbookViewId="0">
      <selection activeCell="E21" sqref="E21"/>
    </sheetView>
  </sheetViews>
  <sheetFormatPr defaultRowHeight="14.4" x14ac:dyDescent="0.3"/>
  <cols>
    <col min="2" max="2" width="8.88671875" style="11"/>
    <col min="5" max="5" width="22.109375" bestFit="1" customWidth="1"/>
    <col min="6" max="6" width="9" bestFit="1" customWidth="1"/>
    <col min="7" max="7" width="10" bestFit="1" customWidth="1"/>
    <col min="8" max="14" width="2" bestFit="1" customWidth="1"/>
    <col min="15" max="17" width="3" bestFit="1" customWidth="1"/>
  </cols>
  <sheetData>
    <row r="1" spans="1:17" x14ac:dyDescent="0.3">
      <c r="A1" s="1">
        <v>45748</v>
      </c>
      <c r="B1" s="11">
        <v>1189.8400836174487</v>
      </c>
    </row>
    <row r="2" spans="1:17" x14ac:dyDescent="0.3">
      <c r="A2" s="1">
        <v>45778</v>
      </c>
      <c r="B2" s="11">
        <v>1243.6452138519012</v>
      </c>
    </row>
    <row r="3" spans="1:17" x14ac:dyDescent="0.3">
      <c r="A3" s="1">
        <v>45809</v>
      </c>
      <c r="B3" s="11">
        <v>1108.7431150906282</v>
      </c>
      <c r="E3" s="12" t="s">
        <v>49</v>
      </c>
      <c r="F3" s="14" t="s">
        <v>50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x14ac:dyDescent="0.3">
      <c r="A4" s="1">
        <v>45839</v>
      </c>
      <c r="B4" s="11">
        <v>1623.3339759682171</v>
      </c>
      <c r="E4" s="12"/>
      <c r="F4" s="13">
        <v>1</v>
      </c>
      <c r="G4" s="13">
        <v>2</v>
      </c>
      <c r="H4" s="13">
        <v>3</v>
      </c>
      <c r="I4" s="13">
        <v>4</v>
      </c>
      <c r="J4" s="13">
        <v>5</v>
      </c>
      <c r="K4" s="13">
        <v>6</v>
      </c>
      <c r="L4" s="13">
        <v>7</v>
      </c>
      <c r="M4" s="13">
        <v>8</v>
      </c>
      <c r="N4" s="13">
        <v>9</v>
      </c>
      <c r="O4" s="13">
        <v>10</v>
      </c>
      <c r="P4" s="13">
        <v>11</v>
      </c>
      <c r="Q4" s="13">
        <v>12</v>
      </c>
    </row>
    <row r="5" spans="1:17" x14ac:dyDescent="0.3">
      <c r="A5" s="1">
        <v>45870</v>
      </c>
      <c r="B5" s="11">
        <v>1685.1936194356012</v>
      </c>
      <c r="E5" s="16">
        <v>1</v>
      </c>
      <c r="F5">
        <f>$F$21+$F$19*$B$1+$F$22*$B$1</f>
        <v>1148800.474333303</v>
      </c>
      <c r="G5">
        <f>F21+F19*(B1+B2)+F22*(B1+3*B2)</f>
        <v>2419476.1005140082</v>
      </c>
    </row>
    <row r="6" spans="1:17" x14ac:dyDescent="0.3">
      <c r="A6" s="1">
        <v>45901</v>
      </c>
      <c r="B6" s="11">
        <v>1731.6392147654844</v>
      </c>
      <c r="E6" s="16">
        <v>2</v>
      </c>
    </row>
    <row r="7" spans="1:17" x14ac:dyDescent="0.3">
      <c r="A7" s="1">
        <v>45931</v>
      </c>
      <c r="B7" s="11">
        <v>1064.395634029185</v>
      </c>
      <c r="E7" s="16">
        <v>3</v>
      </c>
    </row>
    <row r="8" spans="1:17" x14ac:dyDescent="0.3">
      <c r="A8" s="1">
        <v>45962</v>
      </c>
      <c r="B8" s="11">
        <v>1209.3363678451706</v>
      </c>
      <c r="E8" s="16">
        <v>4</v>
      </c>
    </row>
    <row r="9" spans="1:17" x14ac:dyDescent="0.3">
      <c r="A9" s="1">
        <v>45992</v>
      </c>
      <c r="B9" s="11">
        <v>1563.2983879965559</v>
      </c>
      <c r="E9" s="16">
        <v>5</v>
      </c>
    </row>
    <row r="10" spans="1:17" x14ac:dyDescent="0.3">
      <c r="A10" s="1">
        <v>46023</v>
      </c>
      <c r="B10" s="11">
        <v>1510.4356118378305</v>
      </c>
      <c r="E10" s="16">
        <v>6</v>
      </c>
    </row>
    <row r="11" spans="1:17" x14ac:dyDescent="0.3">
      <c r="A11" s="1">
        <v>46054</v>
      </c>
      <c r="B11" s="11">
        <v>1350.303198792672</v>
      </c>
      <c r="E11" s="16">
        <v>7</v>
      </c>
    </row>
    <row r="12" spans="1:17" x14ac:dyDescent="0.3">
      <c r="A12" s="1">
        <v>46082</v>
      </c>
      <c r="B12" s="11">
        <v>1366.5449200096327</v>
      </c>
      <c r="E12" s="16">
        <v>8</v>
      </c>
    </row>
    <row r="13" spans="1:17" x14ac:dyDescent="0.3">
      <c r="E13" s="16">
        <v>9</v>
      </c>
    </row>
    <row r="14" spans="1:17" x14ac:dyDescent="0.3">
      <c r="E14" s="16">
        <v>10</v>
      </c>
    </row>
    <row r="15" spans="1:17" x14ac:dyDescent="0.3">
      <c r="E15" s="16">
        <v>11</v>
      </c>
    </row>
    <row r="16" spans="1:17" x14ac:dyDescent="0.3">
      <c r="E16" s="16">
        <v>12</v>
      </c>
    </row>
    <row r="17" spans="5:17" x14ac:dyDescent="0.3">
      <c r="E17" s="15" t="s">
        <v>51</v>
      </c>
    </row>
    <row r="18" spans="5:17" x14ac:dyDescent="0.3">
      <c r="E18" s="15" t="s">
        <v>52</v>
      </c>
      <c r="F18" s="17">
        <v>1</v>
      </c>
      <c r="G18" s="17">
        <v>2</v>
      </c>
      <c r="H18" s="17">
        <v>3</v>
      </c>
      <c r="I18" s="17">
        <v>4</v>
      </c>
      <c r="J18" s="17">
        <v>5</v>
      </c>
      <c r="K18" s="17">
        <v>6</v>
      </c>
      <c r="L18" s="17">
        <v>7</v>
      </c>
      <c r="M18" s="17">
        <v>8</v>
      </c>
      <c r="N18" s="17">
        <v>9</v>
      </c>
      <c r="O18" s="17">
        <v>10</v>
      </c>
      <c r="P18" s="17">
        <v>11</v>
      </c>
      <c r="Q18" s="17">
        <v>12</v>
      </c>
    </row>
    <row r="19" spans="5:17" x14ac:dyDescent="0.3">
      <c r="E19" s="15" t="s">
        <v>53</v>
      </c>
      <c r="F19">
        <v>937.37139999999999</v>
      </c>
    </row>
    <row r="20" spans="5:17" x14ac:dyDescent="0.3">
      <c r="E20" s="15" t="s">
        <v>54</v>
      </c>
      <c r="F20">
        <v>0.06</v>
      </c>
    </row>
    <row r="21" spans="5:17" x14ac:dyDescent="0.3">
      <c r="E21" s="15" t="s">
        <v>56</v>
      </c>
      <c r="F21">
        <f>F19*0.02</f>
        <v>18.747427999999999</v>
      </c>
    </row>
    <row r="22" spans="5:17" x14ac:dyDescent="0.3">
      <c r="E22" s="15" t="s">
        <v>55</v>
      </c>
      <c r="F22">
        <f>F19*F20 /2</f>
        <v>28.121141999999999</v>
      </c>
    </row>
  </sheetData>
  <mergeCells count="2">
    <mergeCell ref="E3:E4"/>
    <mergeCell ref="F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Jindal</dc:creator>
  <cp:lastModifiedBy>Vansh Jindal</cp:lastModifiedBy>
  <cp:lastPrinted>2025-04-07T05:35:14Z</cp:lastPrinted>
  <dcterms:created xsi:type="dcterms:W3CDTF">2025-03-16T13:32:04Z</dcterms:created>
  <dcterms:modified xsi:type="dcterms:W3CDTF">2025-04-20T18:26:24Z</dcterms:modified>
</cp:coreProperties>
</file>
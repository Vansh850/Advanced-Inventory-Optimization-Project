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3c58045ead3d6d/Desktop/Forecasting/"/>
    </mc:Choice>
  </mc:AlternateContent>
  <xr:revisionPtr revIDLastSave="376" documentId="8_{09A53801-9D5C-4DCF-98B2-03CE52E5A9D7}" xr6:coauthVersionLast="47" xr6:coauthVersionMax="47" xr10:uidLastSave="{2781DBC2-2749-4E81-A786-ECC0BB4AF9BC}"/>
  <bookViews>
    <workbookView xWindow="-108" yWindow="-108" windowWidth="23256" windowHeight="12456" activeTab="1" xr2:uid="{7BBAFB2E-136E-4C2C-98A4-82304FF857B6}"/>
  </bookViews>
  <sheets>
    <sheet name="Sheet1" sheetId="1" r:id="rId1"/>
    <sheet name="Sheet3" sheetId="3" r:id="rId2"/>
    <sheet name="Sheet2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E31" i="5"/>
  <c r="J30" i="5"/>
  <c r="I30" i="5"/>
  <c r="E30" i="5"/>
  <c r="J29" i="5"/>
  <c r="I29" i="5"/>
  <c r="E29" i="5"/>
  <c r="J28" i="5"/>
  <c r="I28" i="5"/>
  <c r="E28" i="5"/>
  <c r="F29" i="5" s="1"/>
  <c r="J27" i="5"/>
  <c r="I27" i="5"/>
  <c r="E27" i="5"/>
  <c r="J26" i="5"/>
  <c r="I26" i="5"/>
  <c r="E26" i="5"/>
  <c r="F27" i="5" s="1"/>
  <c r="J25" i="5"/>
  <c r="I25" i="5"/>
  <c r="E25" i="5"/>
  <c r="J24" i="5"/>
  <c r="I24" i="5"/>
  <c r="E24" i="5"/>
  <c r="F25" i="5" s="1"/>
  <c r="J23" i="5"/>
  <c r="I23" i="5"/>
  <c r="E23" i="5"/>
  <c r="F24" i="5" s="1"/>
  <c r="J22" i="5"/>
  <c r="I22" i="5"/>
  <c r="E22" i="5"/>
  <c r="J21" i="5"/>
  <c r="I21" i="5"/>
  <c r="E21" i="5"/>
  <c r="F22" i="5" s="1"/>
  <c r="J20" i="5"/>
  <c r="I20" i="5"/>
  <c r="E20" i="5"/>
  <c r="J19" i="5"/>
  <c r="I19" i="5"/>
  <c r="E19" i="5"/>
  <c r="F20" i="5" s="1"/>
  <c r="J18" i="5"/>
  <c r="I18" i="5"/>
  <c r="E18" i="5"/>
  <c r="J17" i="5"/>
  <c r="I17" i="5"/>
  <c r="E17" i="5"/>
  <c r="F18" i="5" s="1"/>
  <c r="J16" i="5"/>
  <c r="I16" i="5"/>
  <c r="E16" i="5"/>
  <c r="F16" i="5" s="1"/>
  <c r="J15" i="5"/>
  <c r="I15" i="5"/>
  <c r="E15" i="5"/>
  <c r="J14" i="5"/>
  <c r="I14" i="5"/>
  <c r="E14" i="5"/>
  <c r="F15" i="5" s="1"/>
  <c r="J13" i="5"/>
  <c r="I13" i="5"/>
  <c r="E13" i="5"/>
  <c r="J12" i="5"/>
  <c r="I12" i="5"/>
  <c r="E12" i="5"/>
  <c r="F13" i="5" s="1"/>
  <c r="J11" i="5"/>
  <c r="I11" i="5"/>
  <c r="E11" i="5"/>
  <c r="J10" i="5"/>
  <c r="I10" i="5"/>
  <c r="E10" i="5"/>
  <c r="J9" i="5"/>
  <c r="I9" i="5"/>
  <c r="E9" i="5"/>
  <c r="J8" i="5"/>
  <c r="I8" i="5"/>
  <c r="E8" i="5"/>
  <c r="F9" i="5" s="1"/>
  <c r="J7" i="5"/>
  <c r="I7" i="5"/>
  <c r="E7" i="5"/>
  <c r="F8" i="5" s="1"/>
  <c r="J6" i="5"/>
  <c r="I6" i="5"/>
  <c r="J5" i="5"/>
  <c r="I5" i="5"/>
  <c r="J4" i="5"/>
  <c r="I4" i="5"/>
  <c r="J3" i="5"/>
  <c r="I3" i="5"/>
  <c r="J2" i="5"/>
  <c r="K2" i="5" s="1"/>
  <c r="I2" i="5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L50" i="5" l="1"/>
  <c r="F11" i="5"/>
  <c r="F31" i="5"/>
  <c r="F23" i="5"/>
  <c r="F14" i="5"/>
  <c r="F30" i="5"/>
  <c r="F21" i="5"/>
  <c r="F12" i="5"/>
  <c r="F28" i="5"/>
  <c r="F19" i="5"/>
  <c r="F10" i="5"/>
  <c r="F26" i="5"/>
  <c r="F17" i="5"/>
  <c r="G31" i="3" l="1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30" i="3"/>
  <c r="K24" i="3" l="1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3" i="3"/>
  <c r="L33" i="3" s="1"/>
  <c r="K40" i="3"/>
  <c r="L40" i="3" s="1"/>
  <c r="K41" i="3"/>
  <c r="L41" i="3" s="1"/>
  <c r="K42" i="3"/>
  <c r="L42" i="3" s="1"/>
  <c r="K43" i="3"/>
  <c r="L43" i="3" s="1"/>
  <c r="K44" i="3"/>
  <c r="L44" i="3" s="1"/>
  <c r="K45" i="3"/>
  <c r="L45" i="3" s="1"/>
  <c r="K46" i="3"/>
  <c r="L46" i="3" s="1"/>
  <c r="K47" i="3"/>
  <c r="L47" i="3" s="1"/>
  <c r="K48" i="3"/>
  <c r="L48" i="3" s="1"/>
  <c r="K49" i="3"/>
  <c r="L49" i="3" s="1"/>
  <c r="K50" i="3"/>
  <c r="L50" i="3" s="1"/>
  <c r="K51" i="3"/>
  <c r="L51" i="3" s="1"/>
  <c r="K52" i="3"/>
  <c r="L52" i="3" s="1"/>
  <c r="K53" i="3"/>
  <c r="L53" i="3" s="1"/>
  <c r="K54" i="3"/>
  <c r="L54" i="3" s="1"/>
  <c r="K55" i="3"/>
  <c r="L55" i="3" s="1"/>
  <c r="K56" i="3"/>
  <c r="L56" i="3" s="1"/>
  <c r="K57" i="3"/>
  <c r="L57" i="3" s="1"/>
  <c r="K58" i="3"/>
  <c r="L58" i="3" s="1"/>
  <c r="K59" i="3"/>
  <c r="L59" i="3" s="1"/>
  <c r="K60" i="3"/>
  <c r="K61" i="3"/>
  <c r="K62" i="3"/>
  <c r="K64" i="3"/>
  <c r="K65" i="3"/>
  <c r="K66" i="3"/>
  <c r="K71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29" i="3"/>
  <c r="K34" i="3"/>
  <c r="L34" i="3" s="1"/>
  <c r="K35" i="3"/>
  <c r="L35" i="3" s="1"/>
  <c r="K36" i="3"/>
  <c r="L36" i="3" s="1"/>
  <c r="K37" i="3"/>
  <c r="L37" i="3" s="1"/>
  <c r="K38" i="3"/>
  <c r="L38" i="3" s="1"/>
  <c r="K39" i="3"/>
  <c r="L39" i="3" s="1"/>
  <c r="K67" i="3"/>
  <c r="K68" i="3"/>
  <c r="K69" i="3"/>
  <c r="K70" i="3"/>
  <c r="K32" i="3"/>
  <c r="L32" i="3" s="1"/>
  <c r="K11" i="3"/>
  <c r="K10" i="3"/>
  <c r="K31" i="3"/>
  <c r="L31" i="3" s="1"/>
  <c r="I25" i="3"/>
  <c r="I26" i="3"/>
  <c r="I27" i="3"/>
  <c r="I28" i="3"/>
  <c r="I29" i="3"/>
  <c r="I30" i="3"/>
  <c r="I31" i="3"/>
  <c r="I32" i="3"/>
  <c r="I33" i="3"/>
  <c r="I34" i="3"/>
  <c r="I35" i="3"/>
  <c r="I24" i="3"/>
  <c r="K63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M4" i="3"/>
  <c r="M5" i="3"/>
  <c r="M6" i="3"/>
  <c r="M7" i="3"/>
  <c r="M8" i="3"/>
  <c r="M3" i="3"/>
  <c r="L4" i="3"/>
  <c r="L5" i="3"/>
  <c r="L6" i="3"/>
  <c r="L7" i="3"/>
  <c r="L8" i="3"/>
  <c r="L9" i="3"/>
  <c r="L10" i="3"/>
  <c r="L11" i="3"/>
  <c r="L12" i="3"/>
  <c r="L13" i="3"/>
  <c r="L14" i="3"/>
  <c r="L3" i="3"/>
  <c r="K12" i="3"/>
  <c r="K13" i="3"/>
  <c r="K14" i="3"/>
  <c r="K9" i="3"/>
  <c r="F41" i="3" l="1"/>
  <c r="F39" i="3"/>
  <c r="F37" i="3"/>
  <c r="L72" i="3"/>
  <c r="F38" i="3"/>
  <c r="N13" i="3"/>
  <c r="N12" i="3"/>
  <c r="N8" i="3"/>
  <c r="N11" i="3"/>
  <c r="N7" i="3"/>
  <c r="N10" i="3"/>
  <c r="N5" i="3"/>
  <c r="N14" i="3"/>
  <c r="N6" i="3"/>
  <c r="N3" i="3"/>
  <c r="N4" i="3"/>
  <c r="N9" i="3"/>
  <c r="F42" i="3"/>
  <c r="F40" i="3"/>
  <c r="F44" i="3"/>
  <c r="F53" i="3"/>
  <c r="F36" i="3"/>
  <c r="F35" i="3"/>
  <c r="F52" i="3"/>
  <c r="F51" i="3"/>
  <c r="F30" i="3"/>
  <c r="F43" i="3"/>
  <c r="F34" i="3"/>
  <c r="F33" i="3"/>
  <c r="F47" i="3"/>
  <c r="F46" i="3"/>
  <c r="F50" i="3"/>
  <c r="F49" i="3"/>
  <c r="F48" i="3"/>
  <c r="F45" i="3"/>
  <c r="F32" i="3"/>
  <c r="F31" i="3"/>
  <c r="N15" i="3" l="1"/>
  <c r="O9" i="3" s="1"/>
  <c r="O4" i="3"/>
  <c r="O3" i="3"/>
  <c r="O6" i="3"/>
  <c r="O14" i="3"/>
  <c r="O5" i="3"/>
  <c r="O10" i="3"/>
  <c r="O7" i="3"/>
  <c r="O11" i="3"/>
  <c r="O8" i="3"/>
  <c r="O12" i="3"/>
  <c r="O13" i="3"/>
</calcChain>
</file>

<file path=xl/sharedStrings.xml><?xml version="1.0" encoding="utf-8"?>
<sst xmlns="http://schemas.openxmlformats.org/spreadsheetml/2006/main" count="86" uniqueCount="54">
  <si>
    <t>Month</t>
  </si>
  <si>
    <t>Sales Data Table</t>
  </si>
  <si>
    <t>2022-23</t>
  </si>
  <si>
    <t>2023-24</t>
  </si>
  <si>
    <t>2024-25</t>
  </si>
  <si>
    <t>Apr</t>
  </si>
  <si>
    <t>Mar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</si>
  <si>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</si>
  <si>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</si>
  <si>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</si>
  <si>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</si>
  <si>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</si>
  <si>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</si>
  <si>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</si>
  <si>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</si>
  <si>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</si>
  <si>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</si>
  <si>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Month-Year</t>
  </si>
  <si>
    <t>Year</t>
  </si>
  <si>
    <t>2022-2023</t>
  </si>
  <si>
    <t>2023-2024</t>
  </si>
  <si>
    <t>2024-2025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</si>
  <si>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</si>
  <si>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</si>
  <si>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</si>
  <si>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</si>
  <si>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</si>
  <si>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</si>
  <si>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</si>
  <si>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</si>
  <si>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</si>
  <si>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</si>
  <si>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</si>
  <si>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Months</t>
  </si>
  <si>
    <t>Total</t>
  </si>
  <si>
    <t>Trend</t>
  </si>
  <si>
    <t>12 MA</t>
  </si>
  <si>
    <t>Center MA</t>
  </si>
  <si>
    <t>2025-26</t>
  </si>
  <si>
    <t>CMA</t>
  </si>
  <si>
    <t>Calculations</t>
  </si>
  <si>
    <t>SI</t>
  </si>
  <si>
    <t>Adjusted SI</t>
  </si>
  <si>
    <t>Deseasonalize</t>
  </si>
  <si>
    <t>Time Period</t>
  </si>
  <si>
    <t>Forecast</t>
  </si>
  <si>
    <t>APE</t>
  </si>
  <si>
    <t xml:space="preserve">MAPE = </t>
  </si>
  <si>
    <t>Demand</t>
  </si>
  <si>
    <t>Ratio to Moving Average</t>
  </si>
  <si>
    <t>Error %</t>
  </si>
  <si>
    <t xml:space="preserve">Trend </t>
  </si>
  <si>
    <t>Actual Demand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</si>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</sst>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7" fontId="0" fillId="0" borderId="0" xfId="0" applyNumberFormat="1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2" fontId="2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10" fontId="2" fillId="0" borderId="0" xfId="1" applyNumberFormat="1" applyFont="1"/>
    <xf numFmtId="1" fontId="0" fillId="0" borderId="0" xfId="0" applyNumberForma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Seasonality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2022-23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Sheet1!$B$3:$B$14</c:f>
              <c:numCache>
                <c:formatCode>General</c:formatCode>
                <c:ptCount val="12"/>
                <c:pt idx="0">
                  <c:v>749</c:v>
                </c:pt>
                <c:pt idx="1">
                  <c:v>862</c:v>
                </c:pt>
                <c:pt idx="2">
                  <c:v>532</c:v>
                </c:pt>
                <c:pt idx="3">
                  <c:v>712</c:v>
                </c:pt>
                <c:pt idx="4">
                  <c:v>1366</c:v>
                </c:pt>
                <c:pt idx="5">
                  <c:v>1515</c:v>
                </c:pt>
                <c:pt idx="6">
                  <c:v>862</c:v>
                </c:pt>
                <c:pt idx="7">
                  <c:v>1104</c:v>
                </c:pt>
                <c:pt idx="8">
                  <c:v>857</c:v>
                </c:pt>
                <c:pt idx="9">
                  <c:v>1218</c:v>
                </c:pt>
                <c:pt idx="10">
                  <c:v>1280</c:v>
                </c:pt>
                <c:pt idx="11">
                  <c:v>1332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E4-4E98-B5ED-4DFE7246D5A3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1329</c:v>
                </c:pt>
                <c:pt idx="1">
                  <c:v>1355</c:v>
                </c:pt>
                <c:pt idx="2">
                  <c:v>1080</c:v>
                </c:pt>
                <c:pt idx="3">
                  <c:v>1363</c:v>
                </c:pt>
                <c:pt idx="4">
                  <c:v>1528</c:v>
                </c:pt>
                <c:pt idx="5">
                  <c:v>1606</c:v>
                </c:pt>
                <c:pt idx="6">
                  <c:v>1001</c:v>
                </c:pt>
                <c:pt idx="7">
                  <c:v>1070</c:v>
                </c:pt>
                <c:pt idx="8">
                  <c:v>957</c:v>
                </c:pt>
                <c:pt idx="9">
                  <c:v>1100</c:v>
                </c:pt>
                <c:pt idx="10">
                  <c:v>1275</c:v>
                </c:pt>
                <c:pt idx="11">
                  <c:v>1290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E4-4E98-B5ED-4DFE7246D5A3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1360</c:v>
                </c:pt>
                <c:pt idx="1">
                  <c:v>1450</c:v>
                </c:pt>
                <c:pt idx="2">
                  <c:v>1180</c:v>
                </c:pt>
                <c:pt idx="3">
                  <c:v>1502</c:v>
                </c:pt>
                <c:pt idx="4">
                  <c:v>1562</c:v>
                </c:pt>
                <c:pt idx="5">
                  <c:v>1573</c:v>
                </c:pt>
                <c:pt idx="6">
                  <c:v>1081</c:v>
                </c:pt>
                <c:pt idx="7">
                  <c:v>1092</c:v>
                </c:pt>
                <c:pt idx="8">
                  <c:v>896</c:v>
                </c:pt>
                <c:pt idx="9">
                  <c:v>1238</c:v>
                </c:pt>
                <c:pt idx="10">
                  <c:v>1527</c:v>
                </c:pt>
                <c:pt idx="11">
                  <c:v>1474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E4-4E98-B5ED-4DFE7246D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9649120"/>
        <c:axId val="1839650080"/>
      </c:lineChart>
      <c:catAx>
        <c:axId val="183964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650080"/>
        <c:crosses val="autoZero"/>
        <c:auto val="1"/>
        <c:lblAlgn val="ctr"/>
        <c:lblOffset val="100"/>
        <c:noMultiLvlLbl val="0"/>
      </c:catAx>
      <c:valAx>
        <c:axId val="183965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 Procured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64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Data</a:t>
            </a:r>
          </a:p>
        </c:rich>
      </c:tx>
      <c:layout>
        <c:manualLayout>
          <c:xMode val="edge"/>
          <c:yMode val="edge"/>
          <c:x val="0.4033818897637795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Sheet3!$C$24:$C$59</c15:sqref>
                  </c15:fullRef>
                </c:ext>
              </c:extLst>
              <c:f>(Sheet3!$C$24,Sheet3!$C$27,Sheet3!$C$30,Sheet3!$C$33,Sheet3!$C$36,Sheet3!$C$39,Sheet3!$C$42,Sheet3!$C$45,Sheet3!$C$48,Sheet3!$C$51,Sheet3!$C$54,Sheet3!$C$57)</c:f>
              <c:numCache>
                <c:formatCode>mmm\-yy</c:formatCode>
                <c:ptCount val="12"/>
                <c:pt idx="0">
                  <c:v>44652</c:v>
                </c:pt>
                <c:pt idx="1">
                  <c:v>44743</c:v>
                </c:pt>
                <c:pt idx="2">
                  <c:v>44835</c:v>
                </c:pt>
                <c:pt idx="3">
                  <c:v>44927</c:v>
                </c:pt>
                <c:pt idx="4">
                  <c:v>45017</c:v>
                </c:pt>
                <c:pt idx="5">
                  <c:v>45108</c:v>
                </c:pt>
                <c:pt idx="6">
                  <c:v>45200</c:v>
                </c:pt>
                <c:pt idx="7">
                  <c:v>45292</c:v>
                </c:pt>
                <c:pt idx="8">
                  <c:v>45383</c:v>
                </c:pt>
                <c:pt idx="9">
                  <c:v>45474</c:v>
                </c:pt>
                <c:pt idx="10">
                  <c:v>45566</c:v>
                </c:pt>
                <c:pt idx="11">
                  <c:v>45658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Sheet3!$D$24:$D$59</c15:sqref>
                  </c15:fullRef>
                </c:ext>
              </c:extLst>
              <c:f>(Sheet3!$D$24,Sheet3!$D$27,Sheet3!$D$30,Sheet3!$D$33,Sheet3!$D$36,Sheet3!$D$39,Sheet3!$D$42,Sheet3!$D$45,Sheet3!$D$48,Sheet3!$D$51,Sheet3!$D$54,Sheet3!$D$57)</c:f>
              <c:numCache>
                <c:formatCode>General</c:formatCode>
                <c:ptCount val="12"/>
                <c:pt idx="0">
                  <c:v>749</c:v>
                </c:pt>
                <c:pt idx="1">
                  <c:v>712</c:v>
                </c:pt>
                <c:pt idx="2">
                  <c:v>862</c:v>
                </c:pt>
                <c:pt idx="3">
                  <c:v>1218</c:v>
                </c:pt>
                <c:pt idx="4">
                  <c:v>1329</c:v>
                </c:pt>
                <c:pt idx="5">
                  <c:v>1363</c:v>
                </c:pt>
                <c:pt idx="6">
                  <c:v>1001</c:v>
                </c:pt>
                <c:pt idx="7">
                  <c:v>1100</c:v>
                </c:pt>
                <c:pt idx="8">
                  <c:v>1360</c:v>
                </c:pt>
                <c:pt idx="9">
                  <c:v>1502</c:v>
                </c:pt>
                <c:pt idx="10">
                  <c:v>1081</c:v>
                </c:pt>
                <c:pt idx="11">
                  <c:v>1238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8-4C84-A64E-AF6FDF796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9588560"/>
        <c:axId val="1839589040"/>
      </c:lineChart>
      <c:dateAx>
        <c:axId val="18395885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589040"/>
        <c:crosses val="autoZero"/>
        <c:auto val="0"/>
        <c:lblOffset val="100"/>
        <c:baseTimeUnit val="months"/>
      </c:dateAx>
      <c:valAx>
        <c:axId val="183958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58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seasonality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2022-23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Sheet1!$B$3:$B$14</c:f>
              <c:numCache>
                <c:formatCode>General</c:formatCode>
                <c:ptCount val="12"/>
                <c:pt idx="0">
                  <c:v>749</c:v>
                </c:pt>
                <c:pt idx="1">
                  <c:v>862</c:v>
                </c:pt>
                <c:pt idx="2">
                  <c:v>532</c:v>
                </c:pt>
                <c:pt idx="3">
                  <c:v>712</c:v>
                </c:pt>
                <c:pt idx="4">
                  <c:v>1366</c:v>
                </c:pt>
                <c:pt idx="5">
                  <c:v>1515</c:v>
                </c:pt>
                <c:pt idx="6">
                  <c:v>862</c:v>
                </c:pt>
                <c:pt idx="7">
                  <c:v>1104</c:v>
                </c:pt>
                <c:pt idx="8">
                  <c:v>857</c:v>
                </c:pt>
                <c:pt idx="9">
                  <c:v>1218</c:v>
                </c:pt>
                <c:pt idx="10">
                  <c:v>1280</c:v>
                </c:pt>
                <c:pt idx="11">
                  <c:v>1332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4E-4485-905D-B20C85BFC162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2023-24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Sheet1!$C$3:$C$14</c:f>
              <c:numCache>
                <c:formatCode>General</c:formatCode>
                <c:ptCount val="12"/>
                <c:pt idx="0">
                  <c:v>1329</c:v>
                </c:pt>
                <c:pt idx="1">
                  <c:v>1355</c:v>
                </c:pt>
                <c:pt idx="2">
                  <c:v>1080</c:v>
                </c:pt>
                <c:pt idx="3">
                  <c:v>1363</c:v>
                </c:pt>
                <c:pt idx="4">
                  <c:v>1528</c:v>
                </c:pt>
                <c:pt idx="5">
                  <c:v>1606</c:v>
                </c:pt>
                <c:pt idx="6">
                  <c:v>1001</c:v>
                </c:pt>
                <c:pt idx="7">
                  <c:v>1070</c:v>
                </c:pt>
                <c:pt idx="8">
                  <c:v>957</c:v>
                </c:pt>
                <c:pt idx="9">
                  <c:v>1100</c:v>
                </c:pt>
                <c:pt idx="10">
                  <c:v>1275</c:v>
                </c:pt>
                <c:pt idx="11">
                  <c:v>1290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4E-4485-905D-B20C85BFC162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2024-25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Sheet1!$A$3:$A$14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Sheet1!$D$3:$D$14</c:f>
              <c:numCache>
                <c:formatCode>General</c:formatCode>
                <c:ptCount val="12"/>
                <c:pt idx="0">
                  <c:v>1360</c:v>
                </c:pt>
                <c:pt idx="1">
                  <c:v>1450</c:v>
                </c:pt>
                <c:pt idx="2">
                  <c:v>1180</c:v>
                </c:pt>
                <c:pt idx="3">
                  <c:v>1502</c:v>
                </c:pt>
                <c:pt idx="4">
                  <c:v>1562</c:v>
                </c:pt>
                <c:pt idx="5">
                  <c:v>1573</c:v>
                </c:pt>
                <c:pt idx="6">
                  <c:v>1081</c:v>
                </c:pt>
                <c:pt idx="7">
                  <c:v>1092</c:v>
                </c:pt>
                <c:pt idx="8">
                  <c:v>896</c:v>
                </c:pt>
                <c:pt idx="9">
                  <c:v>1238</c:v>
                </c:pt>
                <c:pt idx="10">
                  <c:v>1527</c:v>
                </c:pt>
                <c:pt idx="11">
                  <c:v>1474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4E-4485-905D-B20C85BFC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9649120"/>
        <c:axId val="1839650080"/>
      </c:lineChart>
      <c:catAx>
        <c:axId val="183964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650080"/>
        <c:crosses val="autoZero"/>
        <c:auto val="1"/>
        <c:lblAlgn val="ctr"/>
        <c:lblOffset val="100"/>
        <c:noMultiLvlLbl val="0"/>
      </c:catAx>
      <c:valAx>
        <c:axId val="183965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64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</a:t>
            </a:r>
            <a:r>
              <a:rPr lang="en-IN" baseline="0"/>
              <a:t> vs Forecast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Sheet3!$D$23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Sheet3!$C$24:$C$71</c15:sqref>
                  </c15:fullRef>
                </c:ext>
              </c:extLst>
              <c:f>Sheet3!$C$24:$C$59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Sheet3!$D$24:$D$71</c15:sqref>
                  </c15:fullRef>
                </c:ext>
              </c:extLst>
              <c:f>Sheet3!$D$24:$D$59</c:f>
              <c:numCache>
                <c:formatCode>General</c:formatCode>
                <c:ptCount val="36"/>
                <c:pt idx="0">
                  <c:v>749</c:v>
                </c:pt>
                <c:pt idx="1">
                  <c:v>862</c:v>
                </c:pt>
                <c:pt idx="2">
                  <c:v>532</c:v>
                </c:pt>
                <c:pt idx="3">
                  <c:v>712</c:v>
                </c:pt>
                <c:pt idx="4">
                  <c:v>1366</c:v>
                </c:pt>
                <c:pt idx="5">
                  <c:v>1515</c:v>
                </c:pt>
                <c:pt idx="6">
                  <c:v>862</c:v>
                </c:pt>
                <c:pt idx="7">
                  <c:v>1104</c:v>
                </c:pt>
                <c:pt idx="8">
                  <c:v>857</c:v>
                </c:pt>
                <c:pt idx="9">
                  <c:v>1218</c:v>
                </c:pt>
                <c:pt idx="10">
                  <c:v>1280</c:v>
                </c:pt>
                <c:pt idx="11">
                  <c:v>1332</c:v>
                </c:pt>
                <c:pt idx="12">
                  <c:v>1329</c:v>
                </c:pt>
                <c:pt idx="13">
                  <c:v>1355</c:v>
                </c:pt>
                <c:pt idx="14">
                  <c:v>1080</c:v>
                </c:pt>
                <c:pt idx="15">
                  <c:v>1363</c:v>
                </c:pt>
                <c:pt idx="16">
                  <c:v>1528</c:v>
                </c:pt>
                <c:pt idx="17">
                  <c:v>1606</c:v>
                </c:pt>
                <c:pt idx="18">
                  <c:v>1001</c:v>
                </c:pt>
                <c:pt idx="19">
                  <c:v>1070</c:v>
                </c:pt>
                <c:pt idx="20">
                  <c:v>957</c:v>
                </c:pt>
                <c:pt idx="21">
                  <c:v>1100</c:v>
                </c:pt>
                <c:pt idx="22">
                  <c:v>1275</c:v>
                </c:pt>
                <c:pt idx="23">
                  <c:v>1290</c:v>
                </c:pt>
                <c:pt idx="24">
                  <c:v>1360</c:v>
                </c:pt>
                <c:pt idx="25">
                  <c:v>1450</c:v>
                </c:pt>
                <c:pt idx="26">
                  <c:v>1180</c:v>
                </c:pt>
                <c:pt idx="27">
                  <c:v>1502</c:v>
                </c:pt>
                <c:pt idx="28">
                  <c:v>1562</c:v>
                </c:pt>
                <c:pt idx="29">
                  <c:v>1573</c:v>
                </c:pt>
                <c:pt idx="30">
                  <c:v>1081</c:v>
                </c:pt>
                <c:pt idx="31">
                  <c:v>1092</c:v>
                </c:pt>
                <c:pt idx="32">
                  <c:v>896</c:v>
                </c:pt>
                <c:pt idx="33">
                  <c:v>1238</c:v>
                </c:pt>
                <c:pt idx="34">
                  <c:v>1257</c:v>
                </c:pt>
                <c:pt idx="35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6C-46DA-A944-2E8311176267}"/>
            </c:ext>
          </c:extLst>
        </c:ser>
        <c:ser>
          <c:idx val="1"/>
          <c:order val="1"/>
          <c:tx>
            <c:strRef>
              <c:f>Sheet3!$K$23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Sheet3!$C$24:$C$71</c15:sqref>
                  </c15:fullRef>
                </c:ext>
              </c:extLst>
              <c:f>Sheet3!$C$24:$C$59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Sheet3!$K$24:$K$71</c15:sqref>
                  </c15:fullRef>
                </c:ext>
              </c:extLst>
              <c:f>Sheet3!$K$24:$K$59</c:f>
              <c:numCache>
                <c:formatCode>0</c:formatCode>
                <c:ptCount val="36"/>
                <c:pt idx="0">
                  <c:v>1055.2526978227743</c:v>
                </c:pt>
                <c:pt idx="1">
                  <c:v>1109.5411657808188</c:v>
                </c:pt>
                <c:pt idx="2">
                  <c:v>903.80103197301878</c:v>
                </c:pt>
                <c:pt idx="3">
                  <c:v>1157.6063704238236</c:v>
                </c:pt>
                <c:pt idx="4">
                  <c:v>1263.3326736210561</c:v>
                </c:pt>
                <c:pt idx="5">
                  <c:v>1316.4398281779067</c:v>
                </c:pt>
                <c:pt idx="6">
                  <c:v>792.16029948266737</c:v>
                </c:pt>
                <c:pt idx="7">
                  <c:v>934.60229698428884</c:v>
                </c:pt>
                <c:pt idx="8">
                  <c:v>786.8097330994292</c:v>
                </c:pt>
                <c:pt idx="9">
                  <c:v>1015.9005456856632</c:v>
                </c:pt>
                <c:pt idx="10">
                  <c:v>1128.1973262128129</c:v>
                </c:pt>
                <c:pt idx="11">
                  <c:v>1167.0577443285708</c:v>
                </c:pt>
                <c:pt idx="12">
                  <c:v>1203.1748097204963</c:v>
                </c:pt>
                <c:pt idx="13">
                  <c:v>1263.2774132980999</c:v>
                </c:pt>
                <c:pt idx="14">
                  <c:v>1027.6007978343657</c:v>
                </c:pt>
                <c:pt idx="15">
                  <c:v>1314.3820251237312</c:v>
                </c:pt>
                <c:pt idx="16">
                  <c:v>1432.5175305141304</c:v>
                </c:pt>
                <c:pt idx="17">
                  <c:v>1490.7910159594987</c:v>
                </c:pt>
                <c:pt idx="18">
                  <c:v>895.92986841470281</c:v>
                </c:pt>
                <c:pt idx="19">
                  <c:v>1055.7091117456355</c:v>
                </c:pt>
                <c:pt idx="20">
                  <c:v>887.67622212502192</c:v>
                </c:pt>
                <c:pt idx="21">
                  <c:v>1144.7591385874191</c:v>
                </c:pt>
                <c:pt idx="22">
                  <c:v>1269.8030451727764</c:v>
                </c:pt>
                <c:pt idx="23">
                  <c:v>1312.0247350969526</c:v>
                </c:pt>
                <c:pt idx="24">
                  <c:v>1351.0969216182189</c:v>
                </c:pt>
                <c:pt idx="25">
                  <c:v>1417.0136608153809</c:v>
                </c:pt>
                <c:pt idx="26">
                  <c:v>1151.4005636957127</c:v>
                </c:pt>
                <c:pt idx="27">
                  <c:v>1471.157679823639</c:v>
                </c:pt>
                <c:pt idx="28">
                  <c:v>1601.7023874072047</c:v>
                </c:pt>
                <c:pt idx="29">
                  <c:v>1665.1422037410907</c:v>
                </c:pt>
                <c:pt idx="30">
                  <c:v>999.69943734673814</c:v>
                </c:pt>
                <c:pt idx="31">
                  <c:v>1176.8159265069817</c:v>
                </c:pt>
                <c:pt idx="32">
                  <c:v>988.54271115061454</c:v>
                </c:pt>
                <c:pt idx="33">
                  <c:v>1273.6177314891747</c:v>
                </c:pt>
                <c:pt idx="34">
                  <c:v>1411.4087641327401</c:v>
                </c:pt>
                <c:pt idx="35">
                  <c:v>1456.9917258653345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6C-46DA-A944-2E8311176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752032"/>
        <c:axId val="583751552"/>
      </c:lineChart>
      <c:dateAx>
        <c:axId val="5837520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751552"/>
        <c:crosses val="autoZero"/>
        <c:auto val="1"/>
        <c:lblOffset val="100"/>
        <c:baseTimeUnit val="months"/>
      </c:dateAx>
      <c:valAx>
        <c:axId val="58375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75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LSS650478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Sheet3!$C$24:$C$59</c:f>
              <c:numCache>
                <c:formatCode>mmm\-yy</c:formatCode>
                <c:ptCount val="36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  <c:pt idx="12">
                  <c:v>45017</c:v>
                </c:pt>
                <c:pt idx="13">
                  <c:v>45047</c:v>
                </c:pt>
                <c:pt idx="14">
                  <c:v>45078</c:v>
                </c:pt>
                <c:pt idx="15">
                  <c:v>45108</c:v>
                </c:pt>
                <c:pt idx="16">
                  <c:v>45139</c:v>
                </c:pt>
                <c:pt idx="17">
                  <c:v>45170</c:v>
                </c:pt>
                <c:pt idx="18">
                  <c:v>45200</c:v>
                </c:pt>
                <c:pt idx="19">
                  <c:v>45231</c:v>
                </c:pt>
                <c:pt idx="20">
                  <c:v>45261</c:v>
                </c:pt>
                <c:pt idx="21">
                  <c:v>45292</c:v>
                </c:pt>
                <c:pt idx="22">
                  <c:v>45323</c:v>
                </c:pt>
                <c:pt idx="23">
                  <c:v>45352</c:v>
                </c:pt>
                <c:pt idx="24">
                  <c:v>45383</c:v>
                </c:pt>
                <c:pt idx="25">
                  <c:v>45413</c:v>
                </c:pt>
                <c:pt idx="26">
                  <c:v>45444</c:v>
                </c:pt>
                <c:pt idx="27">
                  <c:v>45474</c:v>
                </c:pt>
                <c:pt idx="28">
                  <c:v>45505</c:v>
                </c:pt>
                <c:pt idx="29">
                  <c:v>45536</c:v>
                </c:pt>
                <c:pt idx="30">
                  <c:v>45566</c:v>
                </c:pt>
                <c:pt idx="31">
                  <c:v>45597</c:v>
                </c:pt>
                <c:pt idx="32">
                  <c:v>45627</c:v>
                </c:pt>
                <c:pt idx="33">
                  <c:v>45658</c:v>
                </c:pt>
                <c:pt idx="34">
                  <c:v>45689</c:v>
                </c:pt>
                <c:pt idx="35">
                  <c:v>45717</c:v>
                </c:pt>
              </c:numCache>
            </c:numRef>
          </c:cat>
          <c:val>
            <c:numRef>
              <c:f>Sheet3!$D$24:$D$59</c:f>
              <c:numCache>
                <c:formatCode>General</c:formatCode>
                <c:ptCount val="36"/>
                <c:pt idx="0">
                  <c:v>749</c:v>
                </c:pt>
                <c:pt idx="1">
                  <c:v>862</c:v>
                </c:pt>
                <c:pt idx="2">
                  <c:v>532</c:v>
                </c:pt>
                <c:pt idx="3">
                  <c:v>712</c:v>
                </c:pt>
                <c:pt idx="4">
                  <c:v>1366</c:v>
                </c:pt>
                <c:pt idx="5">
                  <c:v>1515</c:v>
                </c:pt>
                <c:pt idx="6">
                  <c:v>862</c:v>
                </c:pt>
                <c:pt idx="7">
                  <c:v>1104</c:v>
                </c:pt>
                <c:pt idx="8">
                  <c:v>857</c:v>
                </c:pt>
                <c:pt idx="9">
                  <c:v>1218</c:v>
                </c:pt>
                <c:pt idx="10">
                  <c:v>1280</c:v>
                </c:pt>
                <c:pt idx="11">
                  <c:v>1332</c:v>
                </c:pt>
                <c:pt idx="12">
                  <c:v>1329</c:v>
                </c:pt>
                <c:pt idx="13">
                  <c:v>1355</c:v>
                </c:pt>
                <c:pt idx="14">
                  <c:v>1080</c:v>
                </c:pt>
                <c:pt idx="15">
                  <c:v>1363</c:v>
                </c:pt>
                <c:pt idx="16">
                  <c:v>1528</c:v>
                </c:pt>
                <c:pt idx="17">
                  <c:v>1606</c:v>
                </c:pt>
                <c:pt idx="18">
                  <c:v>1001</c:v>
                </c:pt>
                <c:pt idx="19">
                  <c:v>1070</c:v>
                </c:pt>
                <c:pt idx="20">
                  <c:v>957</c:v>
                </c:pt>
                <c:pt idx="21">
                  <c:v>1100</c:v>
                </c:pt>
                <c:pt idx="22">
                  <c:v>1275</c:v>
                </c:pt>
                <c:pt idx="23">
                  <c:v>1290</c:v>
                </c:pt>
                <c:pt idx="24">
                  <c:v>1360</c:v>
                </c:pt>
                <c:pt idx="25">
                  <c:v>1450</c:v>
                </c:pt>
                <c:pt idx="26">
                  <c:v>1180</c:v>
                </c:pt>
                <c:pt idx="27">
                  <c:v>1502</c:v>
                </c:pt>
                <c:pt idx="28">
                  <c:v>1562</c:v>
                </c:pt>
                <c:pt idx="29">
                  <c:v>1573</c:v>
                </c:pt>
                <c:pt idx="30">
                  <c:v>1081</c:v>
                </c:pt>
                <c:pt idx="31">
                  <c:v>1092</c:v>
                </c:pt>
                <c:pt idx="32">
                  <c:v>896</c:v>
                </c:pt>
                <c:pt idx="33">
                  <c:v>1238</c:v>
                </c:pt>
                <c:pt idx="34">
                  <c:v>1257</c:v>
                </c:pt>
                <c:pt idx="35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DE-4C31-BDD1-D95D5CCCC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5037839"/>
        <c:axId val="1725040239"/>
      </c:lineChart>
      <c:dateAx>
        <c:axId val="1725037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040239"/>
        <c:crosses val="autoZero"/>
        <c:auto val="1"/>
        <c:lblOffset val="100"/>
        <c:baseTimeUnit val="months"/>
      </c:dateAx>
      <c:valAx>
        <c:axId val="17250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 Procured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03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Sheet3!$D$23</c:f>
              <c:strCache>
                <c:ptCount val="1"/>
                <c:pt idx="0">
                  <c:v>Actual Demand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Sheet3!$B$24:$B$71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Sheet3!$D$24:$D$71</c:f>
              <c:numCache>
                <c:formatCode>General</c:formatCode>
                <c:ptCount val="48"/>
                <c:pt idx="0">
                  <c:v>749</c:v>
                </c:pt>
                <c:pt idx="1">
                  <c:v>862</c:v>
                </c:pt>
                <c:pt idx="2">
                  <c:v>532</c:v>
                </c:pt>
                <c:pt idx="3">
                  <c:v>712</c:v>
                </c:pt>
                <c:pt idx="4">
                  <c:v>1366</c:v>
                </c:pt>
                <c:pt idx="5">
                  <c:v>1515</c:v>
                </c:pt>
                <c:pt idx="6">
                  <c:v>862</c:v>
                </c:pt>
                <c:pt idx="7">
                  <c:v>1104</c:v>
                </c:pt>
                <c:pt idx="8">
                  <c:v>857</c:v>
                </c:pt>
                <c:pt idx="9">
                  <c:v>1218</c:v>
                </c:pt>
                <c:pt idx="10">
                  <c:v>1280</c:v>
                </c:pt>
                <c:pt idx="11">
                  <c:v>1332</c:v>
                </c:pt>
                <c:pt idx="12">
                  <c:v>1329</c:v>
                </c:pt>
                <c:pt idx="13">
                  <c:v>1355</c:v>
                </c:pt>
                <c:pt idx="14">
                  <c:v>1080</c:v>
                </c:pt>
                <c:pt idx="15">
                  <c:v>1363</c:v>
                </c:pt>
                <c:pt idx="16">
                  <c:v>1528</c:v>
                </c:pt>
                <c:pt idx="17">
                  <c:v>1606</c:v>
                </c:pt>
                <c:pt idx="18">
                  <c:v>1001</c:v>
                </c:pt>
                <c:pt idx="19">
                  <c:v>1070</c:v>
                </c:pt>
                <c:pt idx="20">
                  <c:v>957</c:v>
                </c:pt>
                <c:pt idx="21">
                  <c:v>1100</c:v>
                </c:pt>
                <c:pt idx="22">
                  <c:v>1275</c:v>
                </c:pt>
                <c:pt idx="23">
                  <c:v>1290</c:v>
                </c:pt>
                <c:pt idx="24">
                  <c:v>1360</c:v>
                </c:pt>
                <c:pt idx="25">
                  <c:v>1450</c:v>
                </c:pt>
                <c:pt idx="26">
                  <c:v>1180</c:v>
                </c:pt>
                <c:pt idx="27">
                  <c:v>1502</c:v>
                </c:pt>
                <c:pt idx="28">
                  <c:v>1562</c:v>
                </c:pt>
                <c:pt idx="29">
                  <c:v>1573</c:v>
                </c:pt>
                <c:pt idx="30">
                  <c:v>1081</c:v>
                </c:pt>
                <c:pt idx="31">
                  <c:v>1092</c:v>
                </c:pt>
                <c:pt idx="32">
                  <c:v>896</c:v>
                </c:pt>
                <c:pt idx="33">
                  <c:v>1238</c:v>
                </c:pt>
                <c:pt idx="34">
                  <c:v>1257</c:v>
                </c:pt>
                <c:pt idx="35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8-47D3-B0DC-501604903D64}"/>
            </c:ext>
          </c:extLst>
        </c:ser>
        <c:ser>
          <c:idx val="1"/>
          <c:order val="1"/>
          <c:tx>
            <c:strRef>
              <c:f>Sheet3!$I$23</c:f>
              <c:strCache>
                <c:ptCount val="1"/>
                <c:pt idx="0">
                  <c:v>Deseasonalize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Sheet3!$B$24:$B$71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Sheet3!$I$24:$I$71</c:f>
              <c:numCache>
                <c:formatCode>0.00</c:formatCode>
                <c:ptCount val="48"/>
                <c:pt idx="0">
                  <c:v>703.37751851420205</c:v>
                </c:pt>
                <c:pt idx="1">
                  <c:v>778.88036122736878</c:v>
                </c:pt>
                <c:pt idx="2">
                  <c:v>596.94122590480299</c:v>
                </c:pt>
                <c:pt idx="3">
                  <c:v>630.87182885199718</c:v>
                </c:pt>
                <c:pt idx="4">
                  <c:v>1121.5766912278996</c:v>
                </c:pt>
                <c:pt idx="5">
                  <c:v>1207.0561874441073</c:v>
                </c:pt>
                <c:pt idx="6">
                  <c:v>1153.9234983083127</c:v>
                </c:pt>
                <c:pt idx="7">
                  <c:v>1266.310639101602</c:v>
                </c:pt>
                <c:pt idx="8">
                  <c:v>1180.2491109787134</c:v>
                </c:pt>
                <c:pt idx="9">
                  <c:v>1313.0270336647036</c:v>
                </c:pt>
                <c:pt idx="10">
                  <c:v>1255.6509815134777</c:v>
                </c:pt>
                <c:pt idx="11">
                  <c:v>1276.3649367298347</c:v>
                </c:pt>
                <c:pt idx="12">
                  <c:v>1248.0490281780701</c:v>
                </c:pt>
                <c:pt idx="13">
                  <c:v>1224.3420991451098</c:v>
                </c:pt>
                <c:pt idx="14">
                  <c:v>1211.8355713856904</c:v>
                </c:pt>
                <c:pt idx="15">
                  <c:v>1207.694245400663</c:v>
                </c:pt>
                <c:pt idx="16">
                  <c:v>1254.5894467029505</c:v>
                </c:pt>
                <c:pt idx="17">
                  <c:v>1279.5592323664928</c:v>
                </c:pt>
                <c:pt idx="18">
                  <c:v>1339.9970090564047</c:v>
                </c:pt>
                <c:pt idx="19">
                  <c:v>1227.3119418828933</c:v>
                </c:pt>
                <c:pt idx="20">
                  <c:v>1317.9677937066847</c:v>
                </c:pt>
                <c:pt idx="21">
                  <c:v>1185.8208021602413</c:v>
                </c:pt>
                <c:pt idx="22">
                  <c:v>1250.7460948669409</c:v>
                </c:pt>
                <c:pt idx="23">
                  <c:v>1236.1191954815968</c:v>
                </c:pt>
                <c:pt idx="24">
                  <c:v>1277.160781280794</c:v>
                </c:pt>
                <c:pt idx="25">
                  <c:v>1310.1815821110031</c:v>
                </c:pt>
                <c:pt idx="26">
                  <c:v>1324.0425687362172</c:v>
                </c:pt>
                <c:pt idx="27">
                  <c:v>1330.8560209771063</c:v>
                </c:pt>
                <c:pt idx="28">
                  <c:v>1282.5057040248748</c:v>
                </c:pt>
                <c:pt idx="29">
                  <c:v>1253.2669193726606</c:v>
                </c:pt>
                <c:pt idx="30">
                  <c:v>1447.0896771128605</c:v>
                </c:pt>
                <c:pt idx="31">
                  <c:v>1252.5463930244107</c:v>
                </c:pt>
                <c:pt idx="32">
                  <c:v>1233.9593972426221</c:v>
                </c:pt>
                <c:pt idx="33">
                  <c:v>1334.5874118857989</c:v>
                </c:pt>
                <c:pt idx="34">
                  <c:v>1233.0885029394076</c:v>
                </c:pt>
                <c:pt idx="35">
                  <c:v>1220.7874845298868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68-47D3-B0DC-501604903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992256"/>
        <c:axId val="779979776"/>
      </c:lineChart>
      <c:catAx>
        <c:axId val="77999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979776"/>
        <c:crosses val="autoZero"/>
        <c:auto val="1"/>
        <c:lblAlgn val="ctr"/>
        <c:lblOffset val="100"/>
        <c:noMultiLvlLbl val="0"/>
      </c:catAx>
      <c:valAx>
        <c:axId val="77997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99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563880</xdr:colOff>
      <xdr:row>1</xdr:row>
      <xdr:rowOff>22860</xdr:rowOff>
    </xdr:from>
    <xdr:to>
      <xdr:col>17</xdr:col>
      <xdr:colOff>182880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6DEC8B-33B3-0C42-4578-70A460300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396240</xdr:colOff>
      <xdr:row>45</xdr:row>
      <xdr:rowOff>26670</xdr:rowOff>
    </xdr:from>
    <xdr:to>
      <xdr:col>18</xdr:col>
      <xdr:colOff>388620</xdr:colOff>
      <xdr:row>60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2B2E40-5840-BAC7-89F3-9D26C6D0E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129540</xdr:colOff>
      <xdr:row>61</xdr:row>
      <xdr:rowOff>144780</xdr:rowOff>
    </xdr:from>
    <xdr:to>
      <xdr:col>19</xdr:col>
      <xdr:colOff>502920</xdr:colOff>
      <xdr:row>80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A25BD9-2462-4381-ADF2-11703E264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226464</xdr:colOff>
      <xdr:row>24</xdr:row>
      <xdr:rowOff>21543</xdr:rowOff>
    </xdr:from>
    <xdr:to>
      <xdr:col>17</xdr:col>
      <xdr:colOff>126264</xdr:colOff>
      <xdr:row>39</xdr:row>
      <xdr:rowOff>21543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FB7865-D6A6-5E41-D012-2A72A37C6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274320</xdr:colOff>
      <xdr:row>40</xdr:row>
      <xdr:rowOff>179070</xdr:rowOff>
    </xdr:from>
    <xdr:to>
      <xdr:col>18</xdr:col>
      <xdr:colOff>266700</xdr:colOff>
      <xdr:row>55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7AA0BF-2710-34A9-D219-48F2810703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72</xdr:row>
      <xdr:rowOff>27775</xdr:rowOff>
    </xdr:from>
    <xdr:to>
      <xdr:col>6</xdr:col>
      <xdr:colOff>633813</xdr:colOff>
      <xdr:row>86</xdr:row>
      <xdr:rowOff>178750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920A49-7CAF-B5B0-1599-FB5B5F74C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F8E528-8A2C-49C5-ADC8-D05BB4238EF4}" name="Table2" displayName="Table2" ref="A2:D14" totalsRowShown="0">
  <autoFilter ref="A2:D14" xr:uid="{A8F8E528-8A2C-49C5-ADC8-D05BB4238EF4}">
    <filterColumn colId="0" hiddenButton="1"/>
    <filterColumn colId="1" hiddenButton="1"/>
    <filterColumn colId="2" hiddenButton="1"/>
    <filterColumn colId="3" hiddenButton="1"/>
  </autoFilter>
  <tableColumns count="4">
    <tableColumn id="1" xr3:uid="{E4800A66-9098-40AC-82AB-F4E42EF66ACB}" name="Months"/>
    <tableColumn id="2" xr3:uid="{B0D586E0-4F90-4934-9D6B-3D1D426F14BE}" name="2022-23"/>
    <tableColumn id="3" xr3:uid="{7441811A-10AE-4E9D-ABCB-B5073B2655CB}" name="2023-24"/>
    <tableColumn id="4" xr3:uid="{EAB7262B-CAFC-4262-850F-47C869C1992A}" name="2024-2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4BF33-2228-4F14-9B2C-0ADA393EC84E}">
  <dimension ref="A1:D14"/>
  <sheetViews>
    <sheetView workbookViewId="0">
      <selection activeCell="D14" sqref="D14"/>
    </sheetView>
  </sheetViews>
  <sheetFormatPr defaultRowHeight="14.4" x14ac:dyDescent="0.3"/>
  <cols>
    <col min="1" max="1" width="10.44140625" customWidth="1"/>
    <col min="2" max="4" width="9.5546875" customWidth="1"/>
  </cols>
  <sheetData>
    <row r="1" spans="1:4" x14ac:dyDescent="0.3">
      <c r="B1" t="s">
        <v>1</v>
      </c>
    </row>
    <row r="2" spans="1:4" x14ac:dyDescent="0.3">
      <c r="A2" t="s">
        <v>33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>
        <v>749</v>
      </c>
      <c r="C3">
        <v>1329</v>
      </c>
      <c r="D3">
        <v>1360</v>
      </c>
    </row>
    <row r="4" spans="1:4" x14ac:dyDescent="0.3">
      <c r="A4" t="s">
        <v>7</v>
      </c>
      <c r="B4">
        <v>862</v>
      </c>
      <c r="C4">
        <v>1355</v>
      </c>
      <c r="D4">
        <v>1450</v>
      </c>
    </row>
    <row r="5" spans="1:4" x14ac:dyDescent="0.3">
      <c r="A5" t="s">
        <v>8</v>
      </c>
      <c r="B5">
        <v>532</v>
      </c>
      <c r="C5">
        <v>1080</v>
      </c>
      <c r="D5">
        <v>1180</v>
      </c>
    </row>
    <row r="6" spans="1:4" x14ac:dyDescent="0.3">
      <c r="A6" t="s">
        <v>9</v>
      </c>
      <c r="B6">
        <v>712</v>
      </c>
      <c r="C6">
        <v>1363</v>
      </c>
      <c r="D6">
        <v>1502</v>
      </c>
    </row>
    <row r="7" spans="1:4" x14ac:dyDescent="0.3">
      <c r="A7" t="s">
        <v>10</v>
      </c>
      <c r="B7">
        <v>1366</v>
      </c>
      <c r="C7">
        <v>1528</v>
      </c>
      <c r="D7">
        <v>1562</v>
      </c>
    </row>
    <row r="8" spans="1:4" x14ac:dyDescent="0.3">
      <c r="A8" t="s">
        <v>11</v>
      </c>
      <c r="B8">
        <v>1515</v>
      </c>
      <c r="C8">
        <v>1606</v>
      </c>
      <c r="D8">
        <v>1573</v>
      </c>
    </row>
    <row r="9" spans="1:4" x14ac:dyDescent="0.3">
      <c r="A9" t="s">
        <v>12</v>
      </c>
      <c r="B9">
        <v>862</v>
      </c>
      <c r="C9">
        <v>1001</v>
      </c>
      <c r="D9">
        <v>1081</v>
      </c>
    </row>
    <row r="10" spans="1:4" x14ac:dyDescent="0.3">
      <c r="A10" t="s">
        <v>13</v>
      </c>
      <c r="B10">
        <v>1104</v>
      </c>
      <c r="C10">
        <v>1070</v>
      </c>
      <c r="D10">
        <v>1092</v>
      </c>
    </row>
    <row r="11" spans="1:4" x14ac:dyDescent="0.3">
      <c r="A11" t="s">
        <v>14</v>
      </c>
      <c r="B11">
        <v>857</v>
      </c>
      <c r="C11">
        <v>957</v>
      </c>
      <c r="D11">
        <v>896</v>
      </c>
    </row>
    <row r="12" spans="1:4" x14ac:dyDescent="0.3">
      <c r="A12" t="s">
        <v>15</v>
      </c>
      <c r="B12">
        <v>1218</v>
      </c>
      <c r="C12">
        <v>1100</v>
      </c>
      <c r="D12">
        <v>1238</v>
      </c>
    </row>
    <row r="13" spans="1:4" x14ac:dyDescent="0.3">
      <c r="A13" t="s">
        <v>16</v>
      </c>
      <c r="B13">
        <v>1280</v>
      </c>
      <c r="C13">
        <v>1275</v>
      </c>
      <c r="D13">
        <v>1527</v>
      </c>
    </row>
    <row r="14" spans="1:4" x14ac:dyDescent="0.3">
      <c r="A14" t="s">
        <v>6</v>
      </c>
      <c r="B14">
        <v>1332</v>
      </c>
      <c r="C14">
        <v>1290</v>
      </c>
      <c r="D14">
        <v>1474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AA57-5827-4227-8AAD-C5885EB2C271}">
  <dimension ref="A1:AD72"/>
  <sheetViews>
    <sheetView tabSelected="1" topLeftCell="A25" zoomScale="107" zoomScaleNormal="107" workbookViewId="0">
      <selection activeCell="D24" sqref="D24:D59"/>
    </sheetView>
  </sheetViews>
  <sheetFormatPr defaultRowHeight="14.4" x14ac:dyDescent="0.3"/>
  <cols>
    <col min="1" max="1" width="9.6640625" bestFit="1" customWidth="1"/>
    <col min="2" max="2" width="11" bestFit="1" customWidth="1"/>
    <col min="3" max="3" width="11.109375" bestFit="1" customWidth="1"/>
    <col min="4" max="4" width="8.109375" bestFit="1" customWidth="1"/>
    <col min="5" max="5" width="7.5546875" bestFit="1" customWidth="1"/>
    <col min="6" max="6" width="10" bestFit="1" customWidth="1"/>
    <col min="7" max="7" width="10" customWidth="1"/>
    <col min="8" max="8" width="12" bestFit="1" customWidth="1"/>
    <col min="9" max="9" width="12.6640625" bestFit="1" customWidth="1"/>
    <col min="10" max="10" width="7.5546875" bestFit="1" customWidth="1"/>
    <col min="11" max="11" width="8" bestFit="1" customWidth="1"/>
    <col min="12" max="12" width="12" bestFit="1" customWidth="1"/>
    <col min="14" max="14" width="22.5546875" style="2" bestFit="1" customWidth="1"/>
    <col min="15" max="15" width="12" bestFit="1" customWidth="1"/>
    <col min="16" max="16" width="12.6640625" bestFit="1" customWidth="1"/>
    <col min="17" max="17" width="12" bestFit="1" customWidth="1"/>
    <col min="18" max="18" width="7.5546875" bestFit="1" customWidth="1"/>
    <col min="19" max="19" width="11.109375" bestFit="1" customWidth="1"/>
    <col min="20" max="20" width="12" bestFit="1" customWidth="1"/>
    <col min="21" max="21" width="8.5546875" bestFit="1" customWidth="1"/>
    <col min="22" max="22" width="10.5546875" bestFit="1" customWidth="1"/>
    <col min="23" max="23" width="9.77734375" bestFit="1" customWidth="1"/>
    <col min="24" max="24" width="7" bestFit="1" customWidth="1"/>
    <col min="25" max="25" width="12.6640625" style="3" bestFit="1" customWidth="1"/>
    <col min="26" max="26" width="13.6640625" style="3" bestFit="1" customWidth="1"/>
    <col min="27" max="27" width="9" style="3" bestFit="1" customWidth="1"/>
    <col min="28" max="28" width="12" style="3" bestFit="1" customWidth="1"/>
    <col min="29" max="29" width="12.6640625" style="3" bestFit="1" customWidth="1"/>
    <col min="30" max="30" width="12" style="7" bestFit="1" customWidth="1"/>
  </cols>
  <sheetData>
    <row r="1" spans="1:30" x14ac:dyDescent="0.3">
      <c r="B1" t="s">
        <v>1</v>
      </c>
      <c r="F1" s="2"/>
      <c r="G1" s="2"/>
      <c r="I1" s="2" t="s">
        <v>39</v>
      </c>
      <c r="L1" s="2" t="s">
        <v>40</v>
      </c>
      <c r="N1" s="2" t="s">
        <v>41</v>
      </c>
      <c r="O1" s="2" t="s">
        <v>42</v>
      </c>
    </row>
    <row r="2" spans="1:30" x14ac:dyDescent="0.3">
      <c r="A2" t="s">
        <v>0</v>
      </c>
      <c r="B2" t="s">
        <v>2</v>
      </c>
      <c r="C2" t="s">
        <v>3</v>
      </c>
      <c r="D2" t="s">
        <v>4</v>
      </c>
      <c r="F2" s="2" t="s">
        <v>33</v>
      </c>
      <c r="G2" s="2"/>
      <c r="H2" t="s">
        <v>2</v>
      </c>
      <c r="I2" t="s">
        <v>3</v>
      </c>
      <c r="J2" t="s">
        <v>4</v>
      </c>
      <c r="K2" s="2"/>
      <c r="L2" s="2"/>
      <c r="N2"/>
    </row>
    <row r="3" spans="1:30" x14ac:dyDescent="0.3">
      <c r="A3" t="s">
        <v>5</v>
      </c>
      <c r="C3">
        <v>1329</v>
      </c>
      <c r="D3">
        <v>1360</v>
      </c>
      <c r="F3" s="2" t="s">
        <v>22</v>
      </c>
      <c r="G3" s="2"/>
      <c r="I3" s="3">
        <v>1248.625</v>
      </c>
      <c r="J3" s="3">
        <v>1280</v>
      </c>
      <c r="K3" s="4"/>
      <c r="L3" s="4">
        <f>100*C3/I3</f>
        <v>106.43708078886776</v>
      </c>
      <c r="M3">
        <f>100*D3/J3</f>
        <v>106.25</v>
      </c>
      <c r="N3" s="4">
        <f>AVERAGE(K3:M3)</f>
        <v>106.34354039443389</v>
      </c>
      <c r="O3">
        <f t="shared" ref="O3:O14" si="0">N3*($M$15/$N$15)</f>
        <v>106.48620126246995</v>
      </c>
      <c r="P3">
        <v>106.48620126246995</v>
      </c>
      <c r="AD3" s="8"/>
    </row>
    <row r="4" spans="1:30" x14ac:dyDescent="0.3">
      <c r="A4" t="s">
        <v>7</v>
      </c>
      <c r="C4">
        <v>1355</v>
      </c>
      <c r="D4">
        <v>1450</v>
      </c>
      <c r="F4" s="2" t="s">
        <v>7</v>
      </c>
      <c r="G4" s="2"/>
      <c r="I4" s="3">
        <v>1253</v>
      </c>
      <c r="J4" s="3">
        <v>1284.25</v>
      </c>
      <c r="K4" s="4"/>
      <c r="L4" s="4">
        <f t="shared" ref="L4:L14" si="1">100*C4/I4</f>
        <v>108.14046288906624</v>
      </c>
      <c r="M4">
        <f t="shared" ref="M4:M8" si="2">100*D4/J4</f>
        <v>112.90636558302511</v>
      </c>
      <c r="N4" s="4">
        <f t="shared" ref="N4:N14" si="3">AVERAGE(K4:M4)</f>
        <v>110.52341423604568</v>
      </c>
      <c r="O4">
        <f t="shared" si="0"/>
        <v>110.67168244448357</v>
      </c>
      <c r="P4">
        <v>110.67168244448357</v>
      </c>
      <c r="AD4" s="8"/>
    </row>
    <row r="5" spans="1:30" x14ac:dyDescent="0.3">
      <c r="A5" t="s">
        <v>8</v>
      </c>
      <c r="C5">
        <v>1080</v>
      </c>
      <c r="D5">
        <v>1180</v>
      </c>
      <c r="F5" s="2" t="s">
        <v>23</v>
      </c>
      <c r="G5" s="2"/>
      <c r="I5" s="3">
        <v>1255.75</v>
      </c>
      <c r="J5" s="3">
        <v>1282.625</v>
      </c>
      <c r="K5" s="4"/>
      <c r="L5" s="4">
        <f t="shared" si="1"/>
        <v>86.004379852677687</v>
      </c>
      <c r="M5">
        <f t="shared" si="2"/>
        <v>91.9988305233408</v>
      </c>
      <c r="N5" s="4">
        <f t="shared" si="3"/>
        <v>89.00160518800925</v>
      </c>
      <c r="O5">
        <f t="shared" si="0"/>
        <v>89.121001685489304</v>
      </c>
      <c r="P5">
        <v>89.121001685489304</v>
      </c>
      <c r="AD5" s="8"/>
    </row>
    <row r="6" spans="1:30" x14ac:dyDescent="0.3">
      <c r="A6" t="s">
        <v>9</v>
      </c>
      <c r="C6">
        <v>1363</v>
      </c>
      <c r="D6">
        <v>1502</v>
      </c>
      <c r="F6" s="2" t="s">
        <v>24</v>
      </c>
      <c r="G6" s="2"/>
      <c r="I6" s="3">
        <v>1255</v>
      </c>
      <c r="J6" s="3">
        <v>1285.8333333333333</v>
      </c>
      <c r="K6" s="4"/>
      <c r="L6" s="4">
        <f t="shared" si="1"/>
        <v>108.60557768924303</v>
      </c>
      <c r="M6">
        <f t="shared" si="2"/>
        <v>116.81140635126378</v>
      </c>
      <c r="N6" s="4">
        <f t="shared" si="3"/>
        <v>112.7084920202534</v>
      </c>
      <c r="O6">
        <f t="shared" si="0"/>
        <v>112.85969153126278</v>
      </c>
      <c r="P6">
        <v>112.85969153126278</v>
      </c>
      <c r="AD6" s="8"/>
    </row>
    <row r="7" spans="1:30" x14ac:dyDescent="0.3">
      <c r="A7" t="s">
        <v>10</v>
      </c>
      <c r="C7">
        <v>1528</v>
      </c>
      <c r="D7">
        <v>1562</v>
      </c>
      <c r="F7" s="2" t="s">
        <v>25</v>
      </c>
      <c r="G7" s="2"/>
      <c r="I7" s="3">
        <v>1249.875</v>
      </c>
      <c r="J7" s="3">
        <v>1290.8333333333333</v>
      </c>
      <c r="K7" s="4"/>
      <c r="L7" s="4">
        <f t="shared" si="1"/>
        <v>122.25222522252226</v>
      </c>
      <c r="M7">
        <f t="shared" si="2"/>
        <v>121.00710135571337</v>
      </c>
      <c r="N7" s="4">
        <f t="shared" si="3"/>
        <v>121.62966328911781</v>
      </c>
      <c r="O7">
        <f t="shared" si="0"/>
        <v>121.79283063599568</v>
      </c>
      <c r="P7">
        <v>121.79283063599568</v>
      </c>
      <c r="AD7" s="8"/>
    </row>
    <row r="8" spans="1:30" x14ac:dyDescent="0.3">
      <c r="A8" t="s">
        <v>11</v>
      </c>
      <c r="C8">
        <v>1606</v>
      </c>
      <c r="D8">
        <v>1573</v>
      </c>
      <c r="F8" s="2" t="s">
        <v>26</v>
      </c>
      <c r="G8" s="2"/>
      <c r="I8" s="3">
        <v>1247.9166666666667</v>
      </c>
      <c r="J8" s="3">
        <v>1289.4166666666665</v>
      </c>
      <c r="K8" s="4"/>
      <c r="L8" s="4">
        <f t="shared" si="1"/>
        <v>128.69449081803003</v>
      </c>
      <c r="M8">
        <f t="shared" si="2"/>
        <v>121.99314935694437</v>
      </c>
      <c r="N8" s="4">
        <f t="shared" si="3"/>
        <v>125.3438200874872</v>
      </c>
      <c r="O8">
        <f t="shared" si="0"/>
        <v>125.51197001093637</v>
      </c>
      <c r="P8">
        <v>125.51197001093637</v>
      </c>
      <c r="AD8" s="8"/>
    </row>
    <row r="9" spans="1:30" x14ac:dyDescent="0.3">
      <c r="A9" t="s">
        <v>12</v>
      </c>
      <c r="B9">
        <v>862</v>
      </c>
      <c r="C9">
        <v>1001</v>
      </c>
      <c r="F9" s="2" t="s">
        <v>27</v>
      </c>
      <c r="G9" s="2"/>
      <c r="H9" s="3">
        <v>1250</v>
      </c>
      <c r="I9" s="3">
        <v>1247.4583333333335</v>
      </c>
      <c r="K9" s="4">
        <f>100*B9/H9</f>
        <v>68.959999999999994</v>
      </c>
      <c r="L9" s="4">
        <f t="shared" si="1"/>
        <v>80.243161094224916</v>
      </c>
      <c r="N9" s="4">
        <f t="shared" si="3"/>
        <v>74.601580547112462</v>
      </c>
      <c r="O9">
        <f t="shared" si="0"/>
        <v>74.701659274962211</v>
      </c>
      <c r="P9">
        <v>74.701659274962211</v>
      </c>
      <c r="AD9" s="8"/>
    </row>
    <row r="10" spans="1:30" x14ac:dyDescent="0.3">
      <c r="A10" t="s">
        <v>13</v>
      </c>
      <c r="B10">
        <v>1104</v>
      </c>
      <c r="C10">
        <v>1070</v>
      </c>
      <c r="F10" s="2" t="s">
        <v>28</v>
      </c>
      <c r="G10" s="2"/>
      <c r="H10" s="3">
        <v>1244.4166666666667</v>
      </c>
      <c r="I10" s="3">
        <v>1252.7083333333335</v>
      </c>
      <c r="K10" s="4">
        <f t="shared" ref="K10:K14" si="4">100*B10/H10</f>
        <v>88.716265988080082</v>
      </c>
      <c r="L10" s="4">
        <f t="shared" si="1"/>
        <v>85.414934308997161</v>
      </c>
      <c r="N10" s="4">
        <f t="shared" si="3"/>
        <v>87.065600148538621</v>
      </c>
      <c r="O10">
        <f t="shared" si="0"/>
        <v>87.182399476896521</v>
      </c>
      <c r="P10">
        <v>87.182399476896521</v>
      </c>
      <c r="AD10" s="8"/>
    </row>
    <row r="11" spans="1:30" x14ac:dyDescent="0.3">
      <c r="A11" t="s">
        <v>14</v>
      </c>
      <c r="B11">
        <v>857</v>
      </c>
      <c r="C11">
        <v>957</v>
      </c>
      <c r="F11" s="2" t="s">
        <v>29</v>
      </c>
      <c r="G11" s="2"/>
      <c r="H11" s="3">
        <v>1239.75</v>
      </c>
      <c r="I11" s="3">
        <v>1260.8333333333335</v>
      </c>
      <c r="K11" s="4">
        <f t="shared" si="4"/>
        <v>69.126840088727562</v>
      </c>
      <c r="L11" s="4">
        <f t="shared" si="1"/>
        <v>75.90218109715795</v>
      </c>
      <c r="N11" s="4">
        <f t="shared" si="3"/>
        <v>72.514510592942756</v>
      </c>
      <c r="O11">
        <f t="shared" si="0"/>
        <v>72.611789496654538</v>
      </c>
      <c r="P11">
        <v>72.611789496654538</v>
      </c>
      <c r="AD11" s="8"/>
    </row>
    <row r="12" spans="1:30" x14ac:dyDescent="0.3">
      <c r="A12" t="s">
        <v>15</v>
      </c>
      <c r="B12">
        <v>1218</v>
      </c>
      <c r="C12">
        <v>1100</v>
      </c>
      <c r="F12" s="2" t="s">
        <v>30</v>
      </c>
      <c r="G12" s="2"/>
      <c r="H12" s="3">
        <v>1233.8333333333333</v>
      </c>
      <c r="I12" s="3">
        <v>1270.7916666666665</v>
      </c>
      <c r="K12" s="4">
        <f t="shared" si="4"/>
        <v>98.716736458192628</v>
      </c>
      <c r="L12" s="4">
        <f t="shared" si="1"/>
        <v>86.560215089019323</v>
      </c>
      <c r="N12" s="4">
        <f t="shared" si="3"/>
        <v>92.638475773605975</v>
      </c>
      <c r="O12">
        <f t="shared" si="0"/>
        <v>92.762751167469887</v>
      </c>
      <c r="P12">
        <v>92.762751167469887</v>
      </c>
      <c r="AD12" s="8"/>
    </row>
    <row r="13" spans="1:30" x14ac:dyDescent="0.3">
      <c r="A13" t="s">
        <v>16</v>
      </c>
      <c r="B13">
        <v>1280</v>
      </c>
      <c r="C13">
        <v>1275</v>
      </c>
      <c r="F13" s="2" t="s">
        <v>31</v>
      </c>
      <c r="G13" s="2"/>
      <c r="H13" s="3">
        <v>1232.6666666666665</v>
      </c>
      <c r="I13" s="3">
        <v>1278</v>
      </c>
      <c r="K13" s="4">
        <f t="shared" si="4"/>
        <v>103.83991346673879</v>
      </c>
      <c r="L13" s="4">
        <f t="shared" si="1"/>
        <v>99.765258215962447</v>
      </c>
      <c r="N13" s="4">
        <f t="shared" si="3"/>
        <v>101.80258584135062</v>
      </c>
      <c r="O13">
        <f t="shared" si="0"/>
        <v>101.93915497578583</v>
      </c>
      <c r="P13">
        <v>101.93915497578583</v>
      </c>
      <c r="AD13" s="8"/>
    </row>
    <row r="14" spans="1:30" x14ac:dyDescent="0.3">
      <c r="A14" t="s">
        <v>6</v>
      </c>
      <c r="B14">
        <v>1332</v>
      </c>
      <c r="C14">
        <v>1290</v>
      </c>
      <c r="F14" s="2" t="s">
        <v>32</v>
      </c>
      <c r="G14" s="2"/>
      <c r="H14" s="3">
        <v>1239.0416666666665</v>
      </c>
      <c r="I14" s="3">
        <v>1278.0416666666667</v>
      </c>
      <c r="K14" s="4">
        <f t="shared" si="4"/>
        <v>107.50243804015201</v>
      </c>
      <c r="L14" s="4">
        <f t="shared" si="1"/>
        <v>100.93567632771492</v>
      </c>
      <c r="N14" s="4">
        <f t="shared" si="3"/>
        <v>104.21905718393347</v>
      </c>
      <c r="O14">
        <f t="shared" si="0"/>
        <v>104.35886803759335</v>
      </c>
      <c r="P14">
        <v>104.35886803759335</v>
      </c>
      <c r="AD14" s="8"/>
    </row>
    <row r="15" spans="1:30" x14ac:dyDescent="0.3">
      <c r="A15" s="3"/>
      <c r="B15" s="3"/>
      <c r="C15" s="3"/>
      <c r="F15" s="2" t="s">
        <v>34</v>
      </c>
      <c r="G15" s="2"/>
      <c r="K15" s="5"/>
      <c r="L15" s="5"/>
      <c r="M15">
        <v>1200</v>
      </c>
      <c r="N15" s="5">
        <f>SUM(N3:N14)</f>
        <v>1198.3923453028312</v>
      </c>
      <c r="AD15" s="8"/>
    </row>
    <row r="16" spans="1:30" x14ac:dyDescent="0.3">
      <c r="A16" s="3"/>
      <c r="B16" s="3"/>
      <c r="C16" s="3"/>
      <c r="F16" s="2"/>
      <c r="G16" s="2"/>
      <c r="N16"/>
      <c r="AD16" s="8"/>
    </row>
    <row r="17" spans="1:30" x14ac:dyDescent="0.3">
      <c r="H17" s="3"/>
      <c r="I17" s="3"/>
      <c r="J17" s="3"/>
      <c r="K17" s="3"/>
      <c r="AD17" s="8"/>
    </row>
    <row r="18" spans="1:30" x14ac:dyDescent="0.3">
      <c r="H18" s="3"/>
      <c r="I18" s="3"/>
      <c r="J18" s="3"/>
      <c r="K18" s="3"/>
      <c r="AD18" s="8"/>
    </row>
    <row r="19" spans="1:30" x14ac:dyDescent="0.3">
      <c r="H19" s="3"/>
      <c r="I19" s="3"/>
      <c r="J19" s="3"/>
      <c r="K19" s="3"/>
      <c r="AD19" s="8"/>
    </row>
    <row r="20" spans="1:30" x14ac:dyDescent="0.3">
      <c r="H20" s="3"/>
      <c r="I20" s="3"/>
      <c r="J20" s="3"/>
      <c r="K20" s="3"/>
      <c r="AD20" s="8"/>
    </row>
    <row r="21" spans="1:30" x14ac:dyDescent="0.3">
      <c r="H21" s="3"/>
      <c r="I21" s="3"/>
      <c r="J21" s="3"/>
      <c r="K21" s="3"/>
      <c r="AD21" s="8"/>
    </row>
    <row r="22" spans="1:30" x14ac:dyDescent="0.3">
      <c r="H22" s="3"/>
      <c r="I22" s="3"/>
      <c r="J22" s="3"/>
      <c r="K22" s="3"/>
      <c r="AD22" s="8"/>
    </row>
    <row r="23" spans="1:30" s="2" customFormat="1" x14ac:dyDescent="0.3">
      <c r="A23" s="2" t="s">
        <v>18</v>
      </c>
      <c r="B23" s="2" t="s">
        <v>44</v>
      </c>
      <c r="C23" s="2" t="s">
        <v>17</v>
      </c>
      <c r="D23" s="2" t="s">
        <v>52</v>
      </c>
      <c r="E23" s="2" t="s">
        <v>36</v>
      </c>
      <c r="F23" s="2" t="s">
        <v>37</v>
      </c>
      <c r="G23" s="2" t="s">
        <v>49</v>
      </c>
      <c r="H23" s="6" t="s">
        <v>42</v>
      </c>
      <c r="I23" s="6" t="s">
        <v>43</v>
      </c>
      <c r="J23" s="6" t="s">
        <v>35</v>
      </c>
      <c r="K23" s="6" t="s">
        <v>45</v>
      </c>
      <c r="L23" s="2" t="s">
        <v>46</v>
      </c>
      <c r="Y23" s="6"/>
      <c r="Z23" s="6"/>
      <c r="AA23" s="6"/>
      <c r="AB23" s="6"/>
      <c r="AC23" s="6"/>
      <c r="AD23" s="9"/>
    </row>
    <row r="24" spans="1:30" x14ac:dyDescent="0.3">
      <c r="A24" t="s">
        <v>19</v>
      </c>
      <c r="B24">
        <v>1</v>
      </c>
      <c r="C24" s="1">
        <v>44652</v>
      </c>
      <c r="D24">
        <v>749</v>
      </c>
      <c r="H24">
        <v>106.48620126246995</v>
      </c>
      <c r="I24" s="3">
        <f>D24/H24*100</f>
        <v>703.37751851420205</v>
      </c>
      <c r="J24" s="3">
        <f t="shared" ref="J24:J70" si="5">11.576*B24+979.4</f>
        <v>990.976</v>
      </c>
      <c r="K24" s="10">
        <f>J24*H24/100</f>
        <v>1055.2526978227743</v>
      </c>
      <c r="L24" s="3">
        <f>ABS((D24-K24)/D24)*100</f>
        <v>40.888210657246233</v>
      </c>
      <c r="AD24" s="8"/>
    </row>
    <row r="25" spans="1:30" x14ac:dyDescent="0.3">
      <c r="B25">
        <v>2</v>
      </c>
      <c r="C25" s="1">
        <v>44682</v>
      </c>
      <c r="D25">
        <v>862</v>
      </c>
      <c r="H25">
        <v>110.67168244448357</v>
      </c>
      <c r="I25" s="3">
        <f t="shared" ref="I25:I35" si="6">D25/H25*100</f>
        <v>778.88036122736878</v>
      </c>
      <c r="J25" s="3">
        <f t="shared" si="5"/>
        <v>1002.552</v>
      </c>
      <c r="K25" s="10">
        <f t="shared" ref="K25:K35" si="7">J25*H25/100</f>
        <v>1109.5411657808188</v>
      </c>
      <c r="L25" s="3">
        <f t="shared" ref="L25:L59" si="8">ABS((D25-K25)/D25)*100</f>
        <v>28.717072596382692</v>
      </c>
      <c r="AD25" s="8"/>
    </row>
    <row r="26" spans="1:30" x14ac:dyDescent="0.3">
      <c r="B26">
        <v>3</v>
      </c>
      <c r="C26" s="1">
        <v>44713</v>
      </c>
      <c r="D26">
        <v>532</v>
      </c>
      <c r="H26">
        <v>89.121001685489304</v>
      </c>
      <c r="I26" s="3">
        <f t="shared" si="6"/>
        <v>596.94122590480299</v>
      </c>
      <c r="J26" s="3">
        <f t="shared" si="5"/>
        <v>1014.1279999999999</v>
      </c>
      <c r="K26" s="10">
        <f t="shared" si="7"/>
        <v>903.80103197301878</v>
      </c>
      <c r="L26" s="3">
        <f t="shared" si="8"/>
        <v>69.887412025003528</v>
      </c>
      <c r="AD26" s="8"/>
    </row>
    <row r="27" spans="1:30" x14ac:dyDescent="0.3">
      <c r="B27">
        <v>4</v>
      </c>
      <c r="C27" s="1">
        <v>44743</v>
      </c>
      <c r="D27">
        <v>712</v>
      </c>
      <c r="H27">
        <v>112.85969153126278</v>
      </c>
      <c r="I27" s="3">
        <f t="shared" si="6"/>
        <v>630.87182885199718</v>
      </c>
      <c r="J27" s="3">
        <f t="shared" si="5"/>
        <v>1025.704</v>
      </c>
      <c r="K27" s="10">
        <f t="shared" si="7"/>
        <v>1157.6063704238236</v>
      </c>
      <c r="L27" s="3">
        <f t="shared" si="8"/>
        <v>62.585164385368486</v>
      </c>
      <c r="AD27" s="8"/>
    </row>
    <row r="28" spans="1:30" x14ac:dyDescent="0.3">
      <c r="B28">
        <v>5</v>
      </c>
      <c r="C28" s="1">
        <v>44774</v>
      </c>
      <c r="D28">
        <v>1366</v>
      </c>
      <c r="H28">
        <v>121.79283063599568</v>
      </c>
      <c r="I28" s="3">
        <f t="shared" si="6"/>
        <v>1121.5766912278996</v>
      </c>
      <c r="J28" s="3">
        <f t="shared" si="5"/>
        <v>1037.28</v>
      </c>
      <c r="K28" s="10">
        <f t="shared" si="7"/>
        <v>1263.3326736210561</v>
      </c>
      <c r="L28" s="3">
        <f t="shared" si="8"/>
        <v>7.5159096909915029</v>
      </c>
      <c r="AD28" s="8"/>
    </row>
    <row r="29" spans="1:30" x14ac:dyDescent="0.3">
      <c r="B29">
        <v>6</v>
      </c>
      <c r="C29" s="1">
        <v>44805</v>
      </c>
      <c r="D29">
        <v>1515</v>
      </c>
      <c r="E29" s="3">
        <f>AVERAGE(D24:D35)</f>
        <v>1032.4166666666667</v>
      </c>
      <c r="H29">
        <v>125.51197001093637</v>
      </c>
      <c r="I29" s="3">
        <f t="shared" si="6"/>
        <v>1207.0561874441073</v>
      </c>
      <c r="J29" s="3">
        <f t="shared" si="5"/>
        <v>1048.856</v>
      </c>
      <c r="K29" s="10">
        <f t="shared" si="7"/>
        <v>1316.4398281779067</v>
      </c>
      <c r="L29" s="3">
        <f t="shared" si="8"/>
        <v>13.106281968454999</v>
      </c>
      <c r="AD29" s="8"/>
    </row>
    <row r="30" spans="1:30" x14ac:dyDescent="0.3">
      <c r="B30">
        <v>7</v>
      </c>
      <c r="C30" s="1">
        <v>44835</v>
      </c>
      <c r="D30">
        <v>862</v>
      </c>
      <c r="E30" s="3">
        <f t="shared" ref="E30:E53" si="9">AVERAGE(D25:D36)</f>
        <v>1080.75</v>
      </c>
      <c r="F30" s="3">
        <f>AVERAGE(E29:E30)</f>
        <v>1056.5833333333335</v>
      </c>
      <c r="G30" s="3">
        <f>(D30/F30)*100</f>
        <v>81.583721113652487</v>
      </c>
      <c r="H30">
        <v>74.701659274962211</v>
      </c>
      <c r="I30" s="3">
        <f t="shared" si="6"/>
        <v>1153.9234983083127</v>
      </c>
      <c r="J30" s="3">
        <f t="shared" si="5"/>
        <v>1060.432</v>
      </c>
      <c r="K30" s="10">
        <f t="shared" si="7"/>
        <v>792.16029948266737</v>
      </c>
      <c r="L30" s="3">
        <f t="shared" si="8"/>
        <v>8.1020534242845272</v>
      </c>
      <c r="AD30" s="8"/>
    </row>
    <row r="31" spans="1:30" x14ac:dyDescent="0.3">
      <c r="B31">
        <v>8</v>
      </c>
      <c r="C31" s="1">
        <v>44866</v>
      </c>
      <c r="D31">
        <v>1104</v>
      </c>
      <c r="E31" s="3">
        <f t="shared" si="9"/>
        <v>1121.8333333333333</v>
      </c>
      <c r="F31" s="3">
        <f t="shared" ref="F31:F53" si="10">AVERAGE(E30:E31)</f>
        <v>1101.2916666666665</v>
      </c>
      <c r="G31" s="3">
        <f t="shared" ref="G31:G53" si="11">(D31/F31)*100</f>
        <v>100.24592334758428</v>
      </c>
      <c r="H31">
        <v>87.182399476896521</v>
      </c>
      <c r="I31" s="3">
        <f t="shared" si="6"/>
        <v>1266.310639101602</v>
      </c>
      <c r="J31" s="3">
        <f t="shared" si="5"/>
        <v>1072.008</v>
      </c>
      <c r="K31" s="10">
        <f t="shared" si="7"/>
        <v>934.60229698428884</v>
      </c>
      <c r="L31" s="3">
        <f t="shared" si="8"/>
        <v>15.343994838379635</v>
      </c>
      <c r="AD31" s="8"/>
    </row>
    <row r="32" spans="1:30" x14ac:dyDescent="0.3">
      <c r="B32">
        <v>9</v>
      </c>
      <c r="C32" s="1">
        <v>44896</v>
      </c>
      <c r="D32">
        <v>857</v>
      </c>
      <c r="E32" s="3">
        <f t="shared" si="9"/>
        <v>1167.5</v>
      </c>
      <c r="F32" s="3">
        <f t="shared" si="10"/>
        <v>1144.6666666666665</v>
      </c>
      <c r="G32" s="3">
        <f t="shared" si="11"/>
        <v>74.868957483983706</v>
      </c>
      <c r="H32">
        <v>72.611789496654538</v>
      </c>
      <c r="I32" s="3">
        <f t="shared" si="6"/>
        <v>1180.2491109787134</v>
      </c>
      <c r="J32" s="3">
        <f t="shared" si="5"/>
        <v>1083.5840000000001</v>
      </c>
      <c r="K32" s="10">
        <f t="shared" si="7"/>
        <v>786.8097330994292</v>
      </c>
      <c r="L32" s="3">
        <f t="shared" si="8"/>
        <v>8.1902295099849258</v>
      </c>
      <c r="AD32" s="8"/>
    </row>
    <row r="33" spans="1:30" x14ac:dyDescent="0.3">
      <c r="B33">
        <v>10</v>
      </c>
      <c r="C33" s="1">
        <v>44927</v>
      </c>
      <c r="D33">
        <v>1218</v>
      </c>
      <c r="E33" s="3">
        <f t="shared" si="9"/>
        <v>1221.75</v>
      </c>
      <c r="F33" s="3">
        <f t="shared" si="10"/>
        <v>1194.625</v>
      </c>
      <c r="G33" s="3">
        <f t="shared" si="11"/>
        <v>101.95668096683059</v>
      </c>
      <c r="H33">
        <v>92.762751167469887</v>
      </c>
      <c r="I33" s="3">
        <f t="shared" si="6"/>
        <v>1313.0270336647036</v>
      </c>
      <c r="J33" s="3">
        <f t="shared" si="5"/>
        <v>1095.1600000000001</v>
      </c>
      <c r="K33" s="10">
        <f t="shared" si="7"/>
        <v>1015.9005456856632</v>
      </c>
      <c r="L33" s="3">
        <f t="shared" si="8"/>
        <v>16.59273023927231</v>
      </c>
      <c r="AD33" s="8"/>
    </row>
    <row r="34" spans="1:30" x14ac:dyDescent="0.3">
      <c r="B34">
        <v>11</v>
      </c>
      <c r="C34" s="1">
        <v>44958</v>
      </c>
      <c r="D34">
        <v>1280</v>
      </c>
      <c r="E34" s="3">
        <f t="shared" si="9"/>
        <v>1235.25</v>
      </c>
      <c r="F34" s="3">
        <f t="shared" si="10"/>
        <v>1228.5</v>
      </c>
      <c r="G34" s="3">
        <f t="shared" si="11"/>
        <v>104.19210419210418</v>
      </c>
      <c r="H34">
        <v>101.93915497578583</v>
      </c>
      <c r="I34" s="3">
        <f t="shared" si="6"/>
        <v>1255.6509815134777</v>
      </c>
      <c r="J34" s="3">
        <f t="shared" si="5"/>
        <v>1106.7359999999999</v>
      </c>
      <c r="K34" s="10">
        <f t="shared" si="7"/>
        <v>1128.1973262128129</v>
      </c>
      <c r="L34" s="3">
        <f t="shared" si="8"/>
        <v>11.859583889623995</v>
      </c>
      <c r="AD34" s="8"/>
    </row>
    <row r="35" spans="1:30" x14ac:dyDescent="0.3">
      <c r="B35">
        <v>12</v>
      </c>
      <c r="C35" s="1">
        <v>44986</v>
      </c>
      <c r="D35">
        <v>1332</v>
      </c>
      <c r="E35" s="3">
        <f t="shared" si="9"/>
        <v>1242.8333333333333</v>
      </c>
      <c r="F35" s="3">
        <f t="shared" si="10"/>
        <v>1239.0416666666665</v>
      </c>
      <c r="G35" s="3">
        <f t="shared" si="11"/>
        <v>107.502438040152</v>
      </c>
      <c r="H35">
        <v>104.35886803759335</v>
      </c>
      <c r="I35" s="3">
        <f t="shared" si="6"/>
        <v>1276.3649367298347</v>
      </c>
      <c r="J35" s="3">
        <f t="shared" si="5"/>
        <v>1118.3119999999999</v>
      </c>
      <c r="K35" s="10">
        <f t="shared" si="7"/>
        <v>1167.0577443285708</v>
      </c>
      <c r="L35" s="3">
        <f t="shared" si="8"/>
        <v>12.383052227584772</v>
      </c>
      <c r="AD35" s="8"/>
    </row>
    <row r="36" spans="1:30" x14ac:dyDescent="0.3">
      <c r="A36" t="s">
        <v>20</v>
      </c>
      <c r="B36">
        <v>13</v>
      </c>
      <c r="C36" s="1">
        <v>45017</v>
      </c>
      <c r="D36">
        <v>1329</v>
      </c>
      <c r="E36" s="3">
        <f t="shared" si="9"/>
        <v>1254.4166666666667</v>
      </c>
      <c r="F36" s="3">
        <f t="shared" si="10"/>
        <v>1248.625</v>
      </c>
      <c r="G36" s="3">
        <f t="shared" si="11"/>
        <v>106.43708078886776</v>
      </c>
      <c r="H36">
        <v>106.48620126246995</v>
      </c>
      <c r="I36" s="3">
        <f t="shared" ref="I36:I59" si="12">D36/H36*100</f>
        <v>1248.0490281780701</v>
      </c>
      <c r="J36" s="3">
        <f t="shared" si="5"/>
        <v>1129.8879999999999</v>
      </c>
      <c r="K36" s="10">
        <f t="shared" ref="K36:K71" si="13">J36*H36/100</f>
        <v>1203.1748097204963</v>
      </c>
      <c r="L36" s="3">
        <f t="shared" si="8"/>
        <v>9.4676591632433151</v>
      </c>
      <c r="AD36" s="8"/>
    </row>
    <row r="37" spans="1:30" x14ac:dyDescent="0.3">
      <c r="B37">
        <v>14</v>
      </c>
      <c r="C37" s="1">
        <v>45047</v>
      </c>
      <c r="D37">
        <v>1355</v>
      </c>
      <c r="E37" s="3">
        <f t="shared" si="9"/>
        <v>1251.5833333333333</v>
      </c>
      <c r="F37" s="3">
        <f t="shared" si="10"/>
        <v>1253</v>
      </c>
      <c r="G37" s="3">
        <f t="shared" si="11"/>
        <v>108.14046288906624</v>
      </c>
      <c r="H37">
        <v>110.67168244448357</v>
      </c>
      <c r="I37" s="3">
        <f t="shared" si="12"/>
        <v>1224.3420991451098</v>
      </c>
      <c r="J37" s="3">
        <f t="shared" si="5"/>
        <v>1141.4639999999999</v>
      </c>
      <c r="K37" s="10">
        <f t="shared" si="13"/>
        <v>1263.2774132980999</v>
      </c>
      <c r="L37" s="3">
        <f t="shared" si="8"/>
        <v>6.7691945905461353</v>
      </c>
      <c r="AD37" s="8"/>
    </row>
    <row r="38" spans="1:30" x14ac:dyDescent="0.3">
      <c r="B38">
        <v>15</v>
      </c>
      <c r="C38" s="1">
        <v>45078</v>
      </c>
      <c r="D38">
        <v>1080</v>
      </c>
      <c r="E38" s="3">
        <f t="shared" si="9"/>
        <v>1259.9166666666667</v>
      </c>
      <c r="F38" s="3">
        <f t="shared" si="10"/>
        <v>1255.75</v>
      </c>
      <c r="G38" s="3">
        <f t="shared" si="11"/>
        <v>86.004379852677687</v>
      </c>
      <c r="H38">
        <v>89.121001685489304</v>
      </c>
      <c r="I38" s="3">
        <f t="shared" si="12"/>
        <v>1211.8355713856904</v>
      </c>
      <c r="J38" s="3">
        <f t="shared" si="5"/>
        <v>1153.04</v>
      </c>
      <c r="K38" s="10">
        <f t="shared" si="13"/>
        <v>1027.6007978343657</v>
      </c>
      <c r="L38" s="3">
        <f t="shared" si="8"/>
        <v>4.8517779782994701</v>
      </c>
      <c r="AD38" s="8"/>
    </row>
    <row r="39" spans="1:30" x14ac:dyDescent="0.3">
      <c r="B39">
        <v>16</v>
      </c>
      <c r="C39" s="1">
        <v>45108</v>
      </c>
      <c r="D39">
        <v>1363</v>
      </c>
      <c r="E39" s="3">
        <f t="shared" si="9"/>
        <v>1250.0833333333333</v>
      </c>
      <c r="F39" s="3">
        <f t="shared" si="10"/>
        <v>1255</v>
      </c>
      <c r="G39" s="3">
        <f t="shared" si="11"/>
        <v>108.60557768924303</v>
      </c>
      <c r="H39">
        <v>112.85969153126278</v>
      </c>
      <c r="I39" s="3">
        <f t="shared" si="12"/>
        <v>1207.694245400663</v>
      </c>
      <c r="J39" s="3">
        <f t="shared" si="5"/>
        <v>1164.616</v>
      </c>
      <c r="K39" s="10">
        <f t="shared" si="13"/>
        <v>1314.3820251237312</v>
      </c>
      <c r="L39" s="3">
        <f t="shared" si="8"/>
        <v>3.566982749542833</v>
      </c>
      <c r="AD39" s="8"/>
    </row>
    <row r="40" spans="1:30" x14ac:dyDescent="0.3">
      <c r="B40">
        <v>17</v>
      </c>
      <c r="C40" s="1">
        <v>45139</v>
      </c>
      <c r="D40">
        <v>1528</v>
      </c>
      <c r="E40" s="3">
        <f t="shared" si="9"/>
        <v>1249.6666666666667</v>
      </c>
      <c r="F40" s="3">
        <f t="shared" si="10"/>
        <v>1249.875</v>
      </c>
      <c r="G40" s="3">
        <f t="shared" si="11"/>
        <v>122.25222522252226</v>
      </c>
      <c r="H40">
        <v>121.79283063599568</v>
      </c>
      <c r="I40" s="3">
        <f t="shared" si="12"/>
        <v>1254.5894467029505</v>
      </c>
      <c r="J40" s="3">
        <f t="shared" si="5"/>
        <v>1176.192</v>
      </c>
      <c r="K40" s="10">
        <f t="shared" si="13"/>
        <v>1432.5175305141304</v>
      </c>
      <c r="L40" s="3">
        <f t="shared" si="8"/>
        <v>6.2488527150438227</v>
      </c>
      <c r="AD40" s="8"/>
    </row>
    <row r="41" spans="1:30" x14ac:dyDescent="0.3">
      <c r="B41">
        <v>18</v>
      </c>
      <c r="C41" s="1">
        <v>45170</v>
      </c>
      <c r="D41">
        <v>1606</v>
      </c>
      <c r="E41" s="3">
        <f t="shared" si="9"/>
        <v>1246.1666666666667</v>
      </c>
      <c r="F41" s="3">
        <f t="shared" si="10"/>
        <v>1247.9166666666667</v>
      </c>
      <c r="G41" s="3">
        <f t="shared" si="11"/>
        <v>128.69449081803003</v>
      </c>
      <c r="H41">
        <v>125.51197001093637</v>
      </c>
      <c r="I41" s="3">
        <f t="shared" si="12"/>
        <v>1279.5592323664928</v>
      </c>
      <c r="J41" s="3">
        <f t="shared" si="5"/>
        <v>1187.768</v>
      </c>
      <c r="K41" s="10">
        <f t="shared" si="13"/>
        <v>1490.7910159594987</v>
      </c>
      <c r="L41" s="3">
        <f t="shared" si="8"/>
        <v>7.1736602764944744</v>
      </c>
      <c r="AD41" s="8"/>
    </row>
    <row r="42" spans="1:30" x14ac:dyDescent="0.3">
      <c r="B42">
        <v>19</v>
      </c>
      <c r="C42" s="1">
        <v>45200</v>
      </c>
      <c r="D42">
        <v>1001</v>
      </c>
      <c r="E42" s="3">
        <f t="shared" si="9"/>
        <v>1248.75</v>
      </c>
      <c r="F42" s="3">
        <f t="shared" si="10"/>
        <v>1247.4583333333335</v>
      </c>
      <c r="G42" s="3">
        <f t="shared" si="11"/>
        <v>80.243161094224916</v>
      </c>
      <c r="H42">
        <v>74.701659274962211</v>
      </c>
      <c r="I42" s="3">
        <f t="shared" si="12"/>
        <v>1339.9970090564047</v>
      </c>
      <c r="J42" s="3">
        <f t="shared" si="5"/>
        <v>1199.3440000000001</v>
      </c>
      <c r="K42" s="10">
        <f t="shared" si="13"/>
        <v>895.92986841470281</v>
      </c>
      <c r="L42" s="3">
        <f t="shared" si="8"/>
        <v>10.49651664188783</v>
      </c>
      <c r="AD42" s="8"/>
    </row>
    <row r="43" spans="1:30" x14ac:dyDescent="0.3">
      <c r="B43">
        <v>20</v>
      </c>
      <c r="C43" s="1">
        <v>45231</v>
      </c>
      <c r="D43">
        <v>1070</v>
      </c>
      <c r="E43" s="3">
        <f t="shared" si="9"/>
        <v>1256.6666666666667</v>
      </c>
      <c r="F43" s="3">
        <f t="shared" si="10"/>
        <v>1252.7083333333335</v>
      </c>
      <c r="G43" s="3">
        <f t="shared" si="11"/>
        <v>85.414934308997161</v>
      </c>
      <c r="H43">
        <v>87.182399476896521</v>
      </c>
      <c r="I43" s="3">
        <f t="shared" si="12"/>
        <v>1227.3119418828933</v>
      </c>
      <c r="J43" s="3">
        <f t="shared" si="5"/>
        <v>1210.92</v>
      </c>
      <c r="K43" s="10">
        <f t="shared" si="13"/>
        <v>1055.7091117456355</v>
      </c>
      <c r="L43" s="3">
        <f t="shared" si="8"/>
        <v>1.3355970331181792</v>
      </c>
      <c r="AD43" s="8"/>
    </row>
    <row r="44" spans="1:30" x14ac:dyDescent="0.3">
      <c r="B44">
        <v>21</v>
      </c>
      <c r="C44" s="1">
        <v>45261</v>
      </c>
      <c r="D44">
        <v>957</v>
      </c>
      <c r="E44" s="3">
        <f t="shared" si="9"/>
        <v>1265</v>
      </c>
      <c r="F44" s="3">
        <f t="shared" si="10"/>
        <v>1260.8333333333335</v>
      </c>
      <c r="G44" s="3">
        <f t="shared" si="11"/>
        <v>75.90218109715795</v>
      </c>
      <c r="H44">
        <v>72.611789496654538</v>
      </c>
      <c r="I44" s="3">
        <f t="shared" si="12"/>
        <v>1317.9677937066847</v>
      </c>
      <c r="J44" s="3">
        <f t="shared" si="5"/>
        <v>1222.4960000000001</v>
      </c>
      <c r="K44" s="10">
        <f t="shared" si="13"/>
        <v>887.67622212502192</v>
      </c>
      <c r="L44" s="3">
        <f t="shared" si="8"/>
        <v>7.2438639367793183</v>
      </c>
      <c r="AD44" s="8"/>
    </row>
    <row r="45" spans="1:30" x14ac:dyDescent="0.3">
      <c r="B45">
        <v>22</v>
      </c>
      <c r="C45" s="1">
        <v>45292</v>
      </c>
      <c r="D45">
        <v>1100</v>
      </c>
      <c r="E45" s="3">
        <f t="shared" si="9"/>
        <v>1276.5833333333333</v>
      </c>
      <c r="F45" s="3">
        <f t="shared" si="10"/>
        <v>1270.7916666666665</v>
      </c>
      <c r="G45" s="3">
        <f t="shared" si="11"/>
        <v>86.560215089019323</v>
      </c>
      <c r="H45">
        <v>92.762751167469887</v>
      </c>
      <c r="I45" s="3">
        <f t="shared" si="12"/>
        <v>1185.8208021602413</v>
      </c>
      <c r="J45" s="3">
        <f t="shared" si="5"/>
        <v>1234.0720000000001</v>
      </c>
      <c r="K45" s="10">
        <f t="shared" si="13"/>
        <v>1144.7591385874191</v>
      </c>
      <c r="L45" s="3">
        <f t="shared" si="8"/>
        <v>4.0690125988562826</v>
      </c>
      <c r="AD45" s="8"/>
    </row>
    <row r="46" spans="1:30" x14ac:dyDescent="0.3">
      <c r="B46">
        <v>23</v>
      </c>
      <c r="C46" s="1">
        <v>45323</v>
      </c>
      <c r="D46">
        <v>1275</v>
      </c>
      <c r="E46" s="3">
        <f t="shared" si="9"/>
        <v>1279.4166666666667</v>
      </c>
      <c r="F46" s="3">
        <f t="shared" si="10"/>
        <v>1278</v>
      </c>
      <c r="G46" s="3">
        <f t="shared" si="11"/>
        <v>99.765258215962433</v>
      </c>
      <c r="H46">
        <v>101.93915497578583</v>
      </c>
      <c r="I46" s="3">
        <f t="shared" si="12"/>
        <v>1250.7460948669409</v>
      </c>
      <c r="J46" s="3">
        <f t="shared" si="5"/>
        <v>1245.6479999999999</v>
      </c>
      <c r="K46" s="10">
        <f t="shared" si="13"/>
        <v>1269.8030451727764</v>
      </c>
      <c r="L46" s="3">
        <f t="shared" si="8"/>
        <v>0.40760430017440274</v>
      </c>
      <c r="AD46" s="8"/>
    </row>
    <row r="47" spans="1:30" x14ac:dyDescent="0.3">
      <c r="B47">
        <v>24</v>
      </c>
      <c r="C47" s="1">
        <v>45352</v>
      </c>
      <c r="D47">
        <v>1290</v>
      </c>
      <c r="E47" s="3">
        <f t="shared" si="9"/>
        <v>1276.6666666666667</v>
      </c>
      <c r="F47" s="3">
        <f t="shared" si="10"/>
        <v>1278.0416666666667</v>
      </c>
      <c r="G47" s="3">
        <f t="shared" si="11"/>
        <v>100.93567632771492</v>
      </c>
      <c r="H47">
        <v>104.35886803759335</v>
      </c>
      <c r="I47" s="3">
        <f t="shared" si="12"/>
        <v>1236.1191954815968</v>
      </c>
      <c r="J47" s="3">
        <f t="shared" si="5"/>
        <v>1257.2239999999999</v>
      </c>
      <c r="K47" s="10">
        <f t="shared" si="13"/>
        <v>1312.0247350969526</v>
      </c>
      <c r="L47" s="3">
        <f t="shared" si="8"/>
        <v>1.7073438059653143</v>
      </c>
      <c r="AD47" s="8"/>
    </row>
    <row r="48" spans="1:30" x14ac:dyDescent="0.3">
      <c r="A48" t="s">
        <v>21</v>
      </c>
      <c r="B48">
        <v>25</v>
      </c>
      <c r="C48" s="1">
        <v>45383</v>
      </c>
      <c r="D48">
        <v>1360</v>
      </c>
      <c r="E48" s="3">
        <f t="shared" si="9"/>
        <v>1283.3333333333333</v>
      </c>
      <c r="F48" s="3">
        <f t="shared" si="10"/>
        <v>1280</v>
      </c>
      <c r="G48" s="3">
        <f t="shared" si="11"/>
        <v>106.25</v>
      </c>
      <c r="H48">
        <v>106.48620126246995</v>
      </c>
      <c r="I48" s="3">
        <f t="shared" si="12"/>
        <v>1277.160781280794</v>
      </c>
      <c r="J48" s="3">
        <f t="shared" si="5"/>
        <v>1268.8</v>
      </c>
      <c r="K48" s="10">
        <f t="shared" si="13"/>
        <v>1351.0969216182189</v>
      </c>
      <c r="L48" s="3">
        <f t="shared" si="8"/>
        <v>0.65463811630743696</v>
      </c>
      <c r="AD48" s="8"/>
    </row>
    <row r="49" spans="1:30" x14ac:dyDescent="0.3">
      <c r="B49">
        <v>26</v>
      </c>
      <c r="C49" s="1">
        <v>45413</v>
      </c>
      <c r="D49">
        <v>1450</v>
      </c>
      <c r="E49" s="3">
        <f t="shared" si="9"/>
        <v>1285.1666666666667</v>
      </c>
      <c r="F49" s="3">
        <f t="shared" si="10"/>
        <v>1284.25</v>
      </c>
      <c r="G49" s="3">
        <f t="shared" si="11"/>
        <v>112.90636558302512</v>
      </c>
      <c r="H49">
        <v>110.67168244448357</v>
      </c>
      <c r="I49" s="3">
        <f t="shared" si="12"/>
        <v>1310.1815821110031</v>
      </c>
      <c r="J49" s="3">
        <f t="shared" si="5"/>
        <v>1280.376</v>
      </c>
      <c r="K49" s="10">
        <f t="shared" si="13"/>
        <v>1417.0136608153809</v>
      </c>
      <c r="L49" s="3">
        <f t="shared" si="8"/>
        <v>2.274919943766831</v>
      </c>
      <c r="AD49" s="8"/>
    </row>
    <row r="50" spans="1:30" x14ac:dyDescent="0.3">
      <c r="B50">
        <v>27</v>
      </c>
      <c r="C50" s="1">
        <v>45444</v>
      </c>
      <c r="D50">
        <v>1180</v>
      </c>
      <c r="E50" s="3">
        <f t="shared" si="9"/>
        <v>1280.0833333333333</v>
      </c>
      <c r="F50" s="3">
        <f t="shared" si="10"/>
        <v>1282.625</v>
      </c>
      <c r="G50" s="3">
        <f t="shared" si="11"/>
        <v>91.9988305233408</v>
      </c>
      <c r="H50">
        <v>89.121001685489304</v>
      </c>
      <c r="I50" s="3">
        <f t="shared" si="12"/>
        <v>1324.0425687362172</v>
      </c>
      <c r="J50" s="3">
        <f t="shared" si="5"/>
        <v>1291.952</v>
      </c>
      <c r="K50" s="10">
        <f t="shared" si="13"/>
        <v>1151.4005636957127</v>
      </c>
      <c r="L50" s="3">
        <f t="shared" si="8"/>
        <v>2.4236810427362152</v>
      </c>
      <c r="AD50" s="8"/>
    </row>
    <row r="51" spans="1:30" x14ac:dyDescent="0.3">
      <c r="B51">
        <v>28</v>
      </c>
      <c r="C51" s="1">
        <v>45474</v>
      </c>
      <c r="D51">
        <v>1502</v>
      </c>
      <c r="E51" s="3">
        <f t="shared" si="9"/>
        <v>1291.5833333333333</v>
      </c>
      <c r="F51" s="3">
        <f t="shared" si="10"/>
        <v>1285.8333333333333</v>
      </c>
      <c r="G51" s="3">
        <f t="shared" si="11"/>
        <v>116.81140635126377</v>
      </c>
      <c r="H51">
        <v>112.85969153126278</v>
      </c>
      <c r="I51" s="3">
        <f t="shared" si="12"/>
        <v>1330.8560209771063</v>
      </c>
      <c r="J51" s="3">
        <f t="shared" si="5"/>
        <v>1303.528</v>
      </c>
      <c r="K51" s="10">
        <f t="shared" si="13"/>
        <v>1471.157679823639</v>
      </c>
      <c r="L51" s="3">
        <f t="shared" si="8"/>
        <v>2.0534167893715711</v>
      </c>
      <c r="AC51" s="6"/>
    </row>
    <row r="52" spans="1:30" x14ac:dyDescent="0.3">
      <c r="B52">
        <v>29</v>
      </c>
      <c r="C52" s="1">
        <v>45505</v>
      </c>
      <c r="D52">
        <v>1562</v>
      </c>
      <c r="E52" s="3">
        <f t="shared" si="9"/>
        <v>1290.0833333333333</v>
      </c>
      <c r="F52" s="3">
        <f t="shared" si="10"/>
        <v>1290.8333333333333</v>
      </c>
      <c r="G52" s="3">
        <f t="shared" si="11"/>
        <v>121.00710135571337</v>
      </c>
      <c r="H52">
        <v>121.79283063599568</v>
      </c>
      <c r="I52" s="3">
        <f t="shared" si="12"/>
        <v>1282.5057040248748</v>
      </c>
      <c r="J52" s="3">
        <f t="shared" si="5"/>
        <v>1315.104</v>
      </c>
      <c r="K52" s="10">
        <f t="shared" si="13"/>
        <v>1601.7023874072047</v>
      </c>
      <c r="L52" s="3">
        <f t="shared" si="8"/>
        <v>2.5417661592320546</v>
      </c>
    </row>
    <row r="53" spans="1:30" x14ac:dyDescent="0.3">
      <c r="B53">
        <v>30</v>
      </c>
      <c r="C53" s="1">
        <v>45536</v>
      </c>
      <c r="D53">
        <v>1573</v>
      </c>
      <c r="E53" s="3">
        <f t="shared" si="9"/>
        <v>1288.75</v>
      </c>
      <c r="F53" s="3">
        <f t="shared" si="10"/>
        <v>1289.4166666666665</v>
      </c>
      <c r="G53" s="3">
        <f t="shared" si="11"/>
        <v>121.99314935694436</v>
      </c>
      <c r="H53">
        <v>125.51197001093637</v>
      </c>
      <c r="I53" s="3">
        <f t="shared" si="12"/>
        <v>1253.2669193726606</v>
      </c>
      <c r="J53" s="3">
        <f t="shared" si="5"/>
        <v>1326.68</v>
      </c>
      <c r="K53" s="10">
        <f t="shared" si="13"/>
        <v>1665.1422037410907</v>
      </c>
      <c r="L53" s="3">
        <f t="shared" si="8"/>
        <v>5.8577370464774781</v>
      </c>
    </row>
    <row r="54" spans="1:30" x14ac:dyDescent="0.3">
      <c r="B54">
        <v>31</v>
      </c>
      <c r="C54" s="1">
        <v>45566</v>
      </c>
      <c r="D54">
        <v>1081</v>
      </c>
      <c r="F54" s="3"/>
      <c r="G54" s="3"/>
      <c r="H54">
        <v>74.701659274962211</v>
      </c>
      <c r="I54" s="3">
        <f t="shared" si="12"/>
        <v>1447.0896771128605</v>
      </c>
      <c r="J54" s="3">
        <f t="shared" si="5"/>
        <v>1338.2559999999999</v>
      </c>
      <c r="K54" s="10">
        <f t="shared" si="13"/>
        <v>999.69943734673814</v>
      </c>
      <c r="L54" s="3">
        <f t="shared" si="8"/>
        <v>7.5208661103850005</v>
      </c>
    </row>
    <row r="55" spans="1:30" x14ac:dyDescent="0.3">
      <c r="B55">
        <v>32</v>
      </c>
      <c r="C55" s="1">
        <v>45597</v>
      </c>
      <c r="D55">
        <v>1092</v>
      </c>
      <c r="H55">
        <v>87.182399476896521</v>
      </c>
      <c r="I55" s="3">
        <f t="shared" si="12"/>
        <v>1252.5463930244107</v>
      </c>
      <c r="J55" s="3">
        <f t="shared" si="5"/>
        <v>1349.8319999999999</v>
      </c>
      <c r="K55" s="10">
        <f t="shared" si="13"/>
        <v>1176.8159265069817</v>
      </c>
      <c r="L55" s="3">
        <f t="shared" si="8"/>
        <v>7.7670262369030834</v>
      </c>
    </row>
    <row r="56" spans="1:30" x14ac:dyDescent="0.3">
      <c r="B56">
        <v>33</v>
      </c>
      <c r="C56" s="1">
        <v>45627</v>
      </c>
      <c r="D56">
        <v>896</v>
      </c>
      <c r="H56">
        <v>72.611789496654538</v>
      </c>
      <c r="I56" s="3">
        <f t="shared" si="12"/>
        <v>1233.9593972426221</v>
      </c>
      <c r="J56" s="3">
        <f t="shared" si="5"/>
        <v>1361.4079999999999</v>
      </c>
      <c r="K56" s="10">
        <f t="shared" si="13"/>
        <v>988.54271115061454</v>
      </c>
      <c r="L56" s="3">
        <f t="shared" si="8"/>
        <v>10.328427583773944</v>
      </c>
    </row>
    <row r="57" spans="1:30" x14ac:dyDescent="0.3">
      <c r="B57">
        <v>34</v>
      </c>
      <c r="C57" s="1">
        <v>45658</v>
      </c>
      <c r="D57">
        <v>1238</v>
      </c>
      <c r="H57">
        <v>92.762751167469887</v>
      </c>
      <c r="I57" s="3">
        <f t="shared" si="12"/>
        <v>1334.5874118857989</v>
      </c>
      <c r="J57" s="3">
        <f t="shared" si="5"/>
        <v>1372.9839999999999</v>
      </c>
      <c r="K57" s="10">
        <f t="shared" si="13"/>
        <v>1273.6177314891747</v>
      </c>
      <c r="L57" s="3">
        <f t="shared" si="8"/>
        <v>2.877038084747555</v>
      </c>
    </row>
    <row r="58" spans="1:30" x14ac:dyDescent="0.3">
      <c r="B58">
        <v>35</v>
      </c>
      <c r="C58" s="1">
        <v>45689</v>
      </c>
      <c r="D58">
        <v>1257</v>
      </c>
      <c r="H58">
        <v>101.93915497578583</v>
      </c>
      <c r="I58" s="3">
        <f t="shared" si="12"/>
        <v>1233.0885029394076</v>
      </c>
      <c r="J58" s="3">
        <f t="shared" si="5"/>
        <v>1384.56</v>
      </c>
      <c r="K58" s="10">
        <f t="shared" si="13"/>
        <v>1411.4087641327401</v>
      </c>
      <c r="L58" s="3">
        <f t="shared" si="8"/>
        <v>12.283911227743841</v>
      </c>
    </row>
    <row r="59" spans="1:30" x14ac:dyDescent="0.3">
      <c r="B59">
        <v>36</v>
      </c>
      <c r="C59" s="1">
        <v>45717</v>
      </c>
      <c r="D59">
        <v>1274</v>
      </c>
      <c r="H59">
        <v>104.35886803759335</v>
      </c>
      <c r="I59" s="3">
        <f t="shared" si="12"/>
        <v>1220.7874845298868</v>
      </c>
      <c r="J59" s="3">
        <f t="shared" si="5"/>
        <v>1396.136</v>
      </c>
      <c r="K59" s="10">
        <f t="shared" si="13"/>
        <v>1456.9917258653345</v>
      </c>
      <c r="L59" s="3">
        <f t="shared" si="8"/>
        <v>14.363557760230339</v>
      </c>
    </row>
    <row r="60" spans="1:30" x14ac:dyDescent="0.3">
      <c r="A60" t="s">
        <v>38</v>
      </c>
      <c r="B60">
        <v>37</v>
      </c>
      <c r="C60" s="1">
        <v>45748</v>
      </c>
      <c r="H60">
        <v>106.48620126246995</v>
      </c>
      <c r="J60" s="3">
        <f t="shared" si="5"/>
        <v>1407.712</v>
      </c>
      <c r="K60" s="10">
        <f t="shared" si="13"/>
        <v>1499.0190335159409</v>
      </c>
    </row>
    <row r="61" spans="1:30" x14ac:dyDescent="0.3">
      <c r="B61">
        <v>38</v>
      </c>
      <c r="C61" s="1">
        <v>45778</v>
      </c>
      <c r="H61">
        <v>110.67168244448357</v>
      </c>
      <c r="J61" s="3">
        <f t="shared" si="5"/>
        <v>1419.288</v>
      </c>
      <c r="K61" s="10">
        <f t="shared" si="13"/>
        <v>1570.749908332662</v>
      </c>
    </row>
    <row r="62" spans="1:30" x14ac:dyDescent="0.3">
      <c r="B62">
        <v>39</v>
      </c>
      <c r="C62" s="1">
        <v>45809</v>
      </c>
      <c r="H62">
        <v>89.121001685489304</v>
      </c>
      <c r="J62" s="3">
        <f t="shared" si="5"/>
        <v>1430.864</v>
      </c>
      <c r="K62" s="10">
        <f t="shared" si="13"/>
        <v>1275.2003295570598</v>
      </c>
    </row>
    <row r="63" spans="1:30" x14ac:dyDescent="0.3">
      <c r="B63">
        <v>40</v>
      </c>
      <c r="C63" s="1">
        <v>45839</v>
      </c>
      <c r="H63">
        <v>112.85969153126278</v>
      </c>
      <c r="J63" s="3">
        <f t="shared" si="5"/>
        <v>1442.44</v>
      </c>
      <c r="K63" s="10">
        <f t="shared" si="13"/>
        <v>1627.933334523547</v>
      </c>
    </row>
    <row r="64" spans="1:30" x14ac:dyDescent="0.3">
      <c r="B64">
        <v>41</v>
      </c>
      <c r="C64" s="1">
        <v>45870</v>
      </c>
      <c r="H64">
        <v>121.79283063599568</v>
      </c>
      <c r="J64" s="3">
        <f t="shared" si="5"/>
        <v>1454.0160000000001</v>
      </c>
      <c r="K64" s="10">
        <f t="shared" si="13"/>
        <v>1770.8872443002792</v>
      </c>
    </row>
    <row r="65" spans="2:12" x14ac:dyDescent="0.3">
      <c r="B65">
        <v>42</v>
      </c>
      <c r="C65" s="1">
        <v>45901</v>
      </c>
      <c r="H65">
        <v>125.51197001093637</v>
      </c>
      <c r="J65" s="3">
        <f t="shared" si="5"/>
        <v>1465.5920000000001</v>
      </c>
      <c r="K65" s="10">
        <f t="shared" si="13"/>
        <v>1839.4933915226825</v>
      </c>
    </row>
    <row r="66" spans="2:12" x14ac:dyDescent="0.3">
      <c r="B66">
        <v>43</v>
      </c>
      <c r="C66" s="1">
        <v>45931</v>
      </c>
      <c r="H66">
        <v>74.701659274962211</v>
      </c>
      <c r="J66" s="3">
        <f t="shared" si="5"/>
        <v>1477.1680000000001</v>
      </c>
      <c r="K66" s="10">
        <f t="shared" si="13"/>
        <v>1103.4690062787738</v>
      </c>
    </row>
    <row r="67" spans="2:12" x14ac:dyDescent="0.3">
      <c r="B67">
        <v>44</v>
      </c>
      <c r="C67" s="1">
        <v>45962</v>
      </c>
      <c r="H67">
        <v>87.182399476896521</v>
      </c>
      <c r="J67" s="3">
        <f t="shared" si="5"/>
        <v>1488.7440000000001</v>
      </c>
      <c r="K67" s="10">
        <f t="shared" si="13"/>
        <v>1297.9227412683283</v>
      </c>
    </row>
    <row r="68" spans="2:12" x14ac:dyDescent="0.3">
      <c r="B68">
        <v>45</v>
      </c>
      <c r="C68" s="1">
        <v>45992</v>
      </c>
      <c r="H68">
        <v>72.611789496654538</v>
      </c>
      <c r="J68" s="3">
        <f t="shared" si="5"/>
        <v>1500.3200000000002</v>
      </c>
      <c r="K68" s="10">
        <f t="shared" si="13"/>
        <v>1089.4092001762076</v>
      </c>
    </row>
    <row r="69" spans="2:12" x14ac:dyDescent="0.3">
      <c r="B69">
        <v>46</v>
      </c>
      <c r="C69" s="1">
        <v>46023</v>
      </c>
      <c r="H69">
        <v>92.762751167469887</v>
      </c>
      <c r="J69" s="3">
        <f t="shared" si="5"/>
        <v>1511.896</v>
      </c>
      <c r="K69" s="10">
        <f t="shared" si="13"/>
        <v>1402.4763243909306</v>
      </c>
    </row>
    <row r="70" spans="2:12" x14ac:dyDescent="0.3">
      <c r="B70">
        <v>47</v>
      </c>
      <c r="C70" s="1">
        <v>46054</v>
      </c>
      <c r="H70">
        <v>101.93915497578583</v>
      </c>
      <c r="J70" s="3">
        <f t="shared" si="5"/>
        <v>1523.472</v>
      </c>
      <c r="K70" s="10">
        <f t="shared" si="13"/>
        <v>1553.0144830927038</v>
      </c>
    </row>
    <row r="71" spans="2:12" x14ac:dyDescent="0.3">
      <c r="B71">
        <v>48</v>
      </c>
      <c r="C71" s="1">
        <v>46082</v>
      </c>
      <c r="H71">
        <v>104.35886803759335</v>
      </c>
      <c r="J71" s="3">
        <f>11.576*B71+979.4</f>
        <v>1535.048</v>
      </c>
      <c r="K71" s="10">
        <f t="shared" si="13"/>
        <v>1601.958716633716</v>
      </c>
    </row>
    <row r="72" spans="2:12" x14ac:dyDescent="0.3">
      <c r="K72" s="2" t="s">
        <v>47</v>
      </c>
      <c r="L72">
        <f>AVERAGE(L24:L59)</f>
        <v>11.92935409289456</v>
      </c>
    </row>
  </sheetData>
  <phoneticPr fontId="3" type="noConversion"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92B6-D018-4CE2-BE3D-4FF9AD6DBC39}">
  <dimension ref="B1:Q50"/>
  <sheetViews>
    <sheetView topLeftCell="J1" workbookViewId="0">
      <selection activeCell="P31" sqref="P31:Q43"/>
    </sheetView>
  </sheetViews>
  <sheetFormatPr defaultRowHeight="14.4" x14ac:dyDescent="0.3"/>
  <cols>
    <col min="2" max="2" width="11" bestFit="1" customWidth="1"/>
    <col min="3" max="3" width="11.109375" bestFit="1" customWidth="1"/>
    <col min="4" max="4" width="8.109375" bestFit="1" customWidth="1"/>
    <col min="5" max="6" width="12" bestFit="1" customWidth="1"/>
    <col min="7" max="7" width="17.44140625" style="3" customWidth="1"/>
    <col min="8" max="8" width="12" style="3" bestFit="1" customWidth="1"/>
    <col min="9" max="9" width="12.6640625" bestFit="1" customWidth="1"/>
    <col min="10" max="10" width="10" bestFit="1" customWidth="1"/>
    <col min="11" max="12" width="12" bestFit="1" customWidth="1"/>
  </cols>
  <sheetData>
    <row r="1" spans="2:14" s="2" customFormat="1" ht="39.6" customHeight="1" x14ac:dyDescent="0.3">
      <c r="B1" s="2" t="s">
        <v>44</v>
      </c>
      <c r="C1" s="2" t="s">
        <v>17</v>
      </c>
      <c r="D1" s="2" t="s">
        <v>48</v>
      </c>
      <c r="E1" s="2" t="s">
        <v>36</v>
      </c>
      <c r="F1" s="2" t="s">
        <v>37</v>
      </c>
      <c r="G1" s="2" t="s">
        <v>49</v>
      </c>
      <c r="H1" s="6" t="s">
        <v>42</v>
      </c>
      <c r="I1" s="6" t="s">
        <v>43</v>
      </c>
      <c r="J1" s="6" t="s">
        <v>51</v>
      </c>
      <c r="K1" s="6" t="s">
        <v>45</v>
      </c>
      <c r="L1" s="2" t="s">
        <v>50</v>
      </c>
    </row>
    <row r="2" spans="2:14" x14ac:dyDescent="0.3">
      <c r="B2">
        <v>1</v>
      </c>
      <c r="C2" s="1">
        <v>44652</v>
      </c>
      <c r="D2">
        <v>749</v>
      </c>
      <c r="G2"/>
      <c r="H2" s="3">
        <v>106.48620126246995</v>
      </c>
      <c r="I2" s="3">
        <f>D2/H2*100</f>
        <v>703.37751851420205</v>
      </c>
      <c r="J2" s="3">
        <f t="shared" ref="J2:J48" si="0">11.576*B2+979.4</f>
        <v>990.976</v>
      </c>
      <c r="K2" s="3">
        <f>J2*H2/100</f>
        <v>1055.2526978227743</v>
      </c>
      <c r="L2" s="8">
        <v>0.40888210657246232</v>
      </c>
      <c r="M2" s="11"/>
      <c r="N2" s="8"/>
    </row>
    <row r="3" spans="2:14" x14ac:dyDescent="0.3">
      <c r="B3">
        <v>2</v>
      </c>
      <c r="C3" s="1">
        <v>44682</v>
      </c>
      <c r="D3">
        <v>862</v>
      </c>
      <c r="G3"/>
      <c r="H3" s="3">
        <v>110.67168244448357</v>
      </c>
      <c r="I3" s="3">
        <f t="shared" ref="I3:I37" si="1">D3/H3*100</f>
        <v>778.88036122736878</v>
      </c>
      <c r="J3" s="3">
        <f t="shared" si="0"/>
        <v>1002.552</v>
      </c>
      <c r="K3" s="3">
        <f t="shared" ref="K3:K49" si="2">J3*H3/100</f>
        <v>1109.5411657808188</v>
      </c>
      <c r="L3" s="8">
        <v>0.28717072596382692</v>
      </c>
      <c r="M3" s="11"/>
      <c r="N3" s="8"/>
    </row>
    <row r="4" spans="2:14" x14ac:dyDescent="0.3">
      <c r="B4">
        <v>3</v>
      </c>
      <c r="C4" s="1">
        <v>44713</v>
      </c>
      <c r="D4">
        <v>532</v>
      </c>
      <c r="G4"/>
      <c r="H4" s="3">
        <v>89.121001685489304</v>
      </c>
      <c r="I4" s="3">
        <f t="shared" si="1"/>
        <v>596.94122590480299</v>
      </c>
      <c r="J4" s="3">
        <f t="shared" si="0"/>
        <v>1014.1279999999999</v>
      </c>
      <c r="K4" s="3">
        <f t="shared" si="2"/>
        <v>903.80103197301878</v>
      </c>
      <c r="L4" s="8">
        <v>0.69887412025003526</v>
      </c>
      <c r="M4" s="11"/>
      <c r="N4" s="8"/>
    </row>
    <row r="5" spans="2:14" x14ac:dyDescent="0.3">
      <c r="B5">
        <v>4</v>
      </c>
      <c r="C5" s="1">
        <v>44743</v>
      </c>
      <c r="D5">
        <v>712</v>
      </c>
      <c r="G5"/>
      <c r="H5" s="3">
        <v>112.85969153126278</v>
      </c>
      <c r="I5" s="3">
        <f t="shared" si="1"/>
        <v>630.87182885199718</v>
      </c>
      <c r="J5" s="3">
        <f t="shared" si="0"/>
        <v>1025.704</v>
      </c>
      <c r="K5" s="3">
        <f t="shared" si="2"/>
        <v>1157.6063704238236</v>
      </c>
      <c r="L5" s="8">
        <v>0.62585164385368486</v>
      </c>
      <c r="M5" s="11"/>
      <c r="N5" s="8"/>
    </row>
    <row r="6" spans="2:14" x14ac:dyDescent="0.3">
      <c r="B6">
        <v>5</v>
      </c>
      <c r="C6" s="1">
        <v>44774</v>
      </c>
      <c r="D6">
        <v>1366</v>
      </c>
      <c r="G6"/>
      <c r="H6" s="3">
        <v>121.79283063599568</v>
      </c>
      <c r="I6" s="3">
        <f t="shared" si="1"/>
        <v>1121.5766912278996</v>
      </c>
      <c r="J6" s="3">
        <f t="shared" si="0"/>
        <v>1037.28</v>
      </c>
      <c r="K6" s="3">
        <f t="shared" si="2"/>
        <v>1263.3326736210561</v>
      </c>
      <c r="L6" s="8">
        <v>7.5159096909915027E-2</v>
      </c>
      <c r="M6" s="11"/>
      <c r="N6" s="8"/>
    </row>
    <row r="7" spans="2:14" x14ac:dyDescent="0.3">
      <c r="B7">
        <v>6</v>
      </c>
      <c r="C7" s="1">
        <v>44805</v>
      </c>
      <c r="D7">
        <v>1515</v>
      </c>
      <c r="E7" s="3">
        <f>AVERAGE(D2:D13)</f>
        <v>1032.4166666666667</v>
      </c>
      <c r="G7"/>
      <c r="H7" s="3">
        <v>125.51197001093637</v>
      </c>
      <c r="I7" s="3">
        <f t="shared" si="1"/>
        <v>1207.0561874441073</v>
      </c>
      <c r="J7" s="3">
        <f t="shared" si="0"/>
        <v>1048.856</v>
      </c>
      <c r="K7" s="3">
        <f t="shared" si="2"/>
        <v>1316.4398281779067</v>
      </c>
      <c r="L7" s="8">
        <v>0.13106281968455</v>
      </c>
      <c r="M7" s="11"/>
      <c r="N7" s="8"/>
    </row>
    <row r="8" spans="2:14" x14ac:dyDescent="0.3">
      <c r="B8">
        <v>7</v>
      </c>
      <c r="C8" s="1">
        <v>44835</v>
      </c>
      <c r="D8">
        <v>862</v>
      </c>
      <c r="E8" s="3">
        <f t="shared" ref="E8:E31" si="3">AVERAGE(D3:D14)</f>
        <v>1080.75</v>
      </c>
      <c r="F8" s="3">
        <f>AVERAGE(E7:E8)</f>
        <v>1056.5833333333335</v>
      </c>
      <c r="G8" s="3">
        <v>0.81583721113652485</v>
      </c>
      <c r="H8" s="3">
        <v>74.701659274962211</v>
      </c>
      <c r="I8" s="3">
        <f t="shared" si="1"/>
        <v>1153.9234983083127</v>
      </c>
      <c r="J8" s="3">
        <f t="shared" si="0"/>
        <v>1060.432</v>
      </c>
      <c r="K8" s="3">
        <f t="shared" si="2"/>
        <v>792.16029948266737</v>
      </c>
      <c r="L8" s="8">
        <v>8.1020534242845277E-2</v>
      </c>
      <c r="M8" s="11"/>
      <c r="N8" s="8"/>
    </row>
    <row r="9" spans="2:14" x14ac:dyDescent="0.3">
      <c r="B9">
        <v>8</v>
      </c>
      <c r="C9" s="1">
        <v>44866</v>
      </c>
      <c r="D9">
        <v>1104</v>
      </c>
      <c r="E9" s="3">
        <f t="shared" si="3"/>
        <v>1121.8333333333333</v>
      </c>
      <c r="F9" s="3">
        <f t="shared" ref="F9:F31" si="4">AVERAGE(E8:E9)</f>
        <v>1101.2916666666665</v>
      </c>
      <c r="G9" s="3">
        <v>1.0024592334758429</v>
      </c>
      <c r="H9" s="3">
        <v>87.182399476896521</v>
      </c>
      <c r="I9" s="3">
        <f t="shared" si="1"/>
        <v>1266.310639101602</v>
      </c>
      <c r="J9" s="3">
        <f t="shared" si="0"/>
        <v>1072.008</v>
      </c>
      <c r="K9" s="3">
        <f t="shared" si="2"/>
        <v>934.60229698428884</v>
      </c>
      <c r="L9" s="8">
        <v>0.15343994838379635</v>
      </c>
      <c r="M9" s="11"/>
      <c r="N9" s="8"/>
    </row>
    <row r="10" spans="2:14" x14ac:dyDescent="0.3">
      <c r="B10">
        <v>9</v>
      </c>
      <c r="C10" s="1">
        <v>44896</v>
      </c>
      <c r="D10">
        <v>857</v>
      </c>
      <c r="E10" s="3">
        <f t="shared" si="3"/>
        <v>1167.5</v>
      </c>
      <c r="F10" s="3">
        <f t="shared" si="4"/>
        <v>1144.6666666666665</v>
      </c>
      <c r="G10" s="3">
        <v>0.74868957483983711</v>
      </c>
      <c r="H10" s="3">
        <v>72.611789496654538</v>
      </c>
      <c r="I10" s="3">
        <f t="shared" si="1"/>
        <v>1180.2491109787134</v>
      </c>
      <c r="J10" s="3">
        <f t="shared" si="0"/>
        <v>1083.5840000000001</v>
      </c>
      <c r="K10" s="3">
        <f t="shared" si="2"/>
        <v>786.8097330994292</v>
      </c>
      <c r="L10" s="8">
        <v>8.1902295099849254E-2</v>
      </c>
      <c r="M10" s="11"/>
      <c r="N10" s="8"/>
    </row>
    <row r="11" spans="2:14" x14ac:dyDescent="0.3">
      <c r="B11">
        <v>10</v>
      </c>
      <c r="C11" s="1">
        <v>44927</v>
      </c>
      <c r="D11">
        <v>1218</v>
      </c>
      <c r="E11" s="3">
        <f t="shared" si="3"/>
        <v>1221.75</v>
      </c>
      <c r="F11" s="3">
        <f t="shared" si="4"/>
        <v>1194.625</v>
      </c>
      <c r="G11" s="3">
        <v>1.0195668096683059</v>
      </c>
      <c r="H11" s="3">
        <v>92.762751167469887</v>
      </c>
      <c r="I11" s="3">
        <f t="shared" si="1"/>
        <v>1313.0270336647036</v>
      </c>
      <c r="J11" s="3">
        <f t="shared" si="0"/>
        <v>1095.1600000000001</v>
      </c>
      <c r="K11" s="3">
        <f t="shared" si="2"/>
        <v>1015.9005456856632</v>
      </c>
      <c r="L11" s="8">
        <v>0.1659273023927231</v>
      </c>
      <c r="M11" s="11"/>
      <c r="N11" s="8"/>
    </row>
    <row r="12" spans="2:14" x14ac:dyDescent="0.3">
      <c r="B12">
        <v>11</v>
      </c>
      <c r="C12" s="1">
        <v>44958</v>
      </c>
      <c r="D12">
        <v>1280</v>
      </c>
      <c r="E12" s="3">
        <f t="shared" si="3"/>
        <v>1235.25</v>
      </c>
      <c r="F12" s="3">
        <f t="shared" si="4"/>
        <v>1228.5</v>
      </c>
      <c r="G12" s="3">
        <v>1.0419210419210418</v>
      </c>
      <c r="H12" s="3">
        <v>101.93915497578583</v>
      </c>
      <c r="I12" s="3">
        <f t="shared" si="1"/>
        <v>1255.6509815134777</v>
      </c>
      <c r="J12" s="3">
        <f t="shared" si="0"/>
        <v>1106.7359999999999</v>
      </c>
      <c r="K12" s="3">
        <f t="shared" si="2"/>
        <v>1128.1973262128129</v>
      </c>
      <c r="L12" s="8">
        <v>0.11859583889623995</v>
      </c>
      <c r="M12" s="11"/>
      <c r="N12" s="8"/>
    </row>
    <row r="13" spans="2:14" x14ac:dyDescent="0.3">
      <c r="B13">
        <v>12</v>
      </c>
      <c r="C13" s="1">
        <v>44986</v>
      </c>
      <c r="D13">
        <v>1332</v>
      </c>
      <c r="E13" s="3">
        <f t="shared" si="3"/>
        <v>1242.8333333333333</v>
      </c>
      <c r="F13" s="3">
        <f t="shared" si="4"/>
        <v>1239.0416666666665</v>
      </c>
      <c r="G13" s="3">
        <v>1.07502438040152</v>
      </c>
      <c r="H13" s="3">
        <v>104.35886803759335</v>
      </c>
      <c r="I13" s="3">
        <f t="shared" si="1"/>
        <v>1276.3649367298347</v>
      </c>
      <c r="J13" s="3">
        <f t="shared" si="0"/>
        <v>1118.3119999999999</v>
      </c>
      <c r="K13" s="3">
        <f t="shared" si="2"/>
        <v>1167.0577443285708</v>
      </c>
      <c r="L13" s="8">
        <v>0.12383052227584772</v>
      </c>
      <c r="M13" s="11"/>
      <c r="N13" s="8"/>
    </row>
    <row r="14" spans="2:14" x14ac:dyDescent="0.3">
      <c r="B14">
        <v>13</v>
      </c>
      <c r="C14" s="1">
        <v>45017</v>
      </c>
      <c r="D14">
        <v>1329</v>
      </c>
      <c r="E14" s="3">
        <f t="shared" si="3"/>
        <v>1254.4166666666667</v>
      </c>
      <c r="F14" s="3">
        <f t="shared" si="4"/>
        <v>1248.625</v>
      </c>
      <c r="G14" s="3">
        <v>1.0643708078886776</v>
      </c>
      <c r="H14" s="3">
        <v>106.48620126246995</v>
      </c>
      <c r="I14" s="3">
        <f t="shared" si="1"/>
        <v>1248.0490281780701</v>
      </c>
      <c r="J14" s="3">
        <f t="shared" si="0"/>
        <v>1129.8879999999999</v>
      </c>
      <c r="K14" s="3">
        <f t="shared" si="2"/>
        <v>1203.1748097204963</v>
      </c>
      <c r="L14" s="8">
        <v>9.4676591632433152E-2</v>
      </c>
      <c r="M14" s="11"/>
      <c r="N14" s="8"/>
    </row>
    <row r="15" spans="2:14" x14ac:dyDescent="0.3">
      <c r="B15">
        <v>14</v>
      </c>
      <c r="C15" s="1">
        <v>45047</v>
      </c>
      <c r="D15">
        <v>1355</v>
      </c>
      <c r="E15" s="3">
        <f t="shared" si="3"/>
        <v>1251.5833333333333</v>
      </c>
      <c r="F15" s="3">
        <f t="shared" si="4"/>
        <v>1253</v>
      </c>
      <c r="G15" s="3">
        <v>1.0814046288906625</v>
      </c>
      <c r="H15" s="3">
        <v>110.67168244448357</v>
      </c>
      <c r="I15" s="3">
        <f t="shared" si="1"/>
        <v>1224.3420991451098</v>
      </c>
      <c r="J15" s="3">
        <f t="shared" si="0"/>
        <v>1141.4639999999999</v>
      </c>
      <c r="K15" s="3">
        <f t="shared" si="2"/>
        <v>1263.2774132980999</v>
      </c>
      <c r="L15" s="8">
        <v>6.7691945905461348E-2</v>
      </c>
      <c r="M15" s="11"/>
      <c r="N15" s="8"/>
    </row>
    <row r="16" spans="2:14" x14ac:dyDescent="0.3">
      <c r="B16">
        <v>15</v>
      </c>
      <c r="C16" s="1">
        <v>45078</v>
      </c>
      <c r="D16">
        <v>1080</v>
      </c>
      <c r="E16" s="3">
        <f t="shared" si="3"/>
        <v>1259.9166666666667</v>
      </c>
      <c r="F16" s="3">
        <f t="shared" si="4"/>
        <v>1255.75</v>
      </c>
      <c r="G16" s="3">
        <v>0.86004379852677681</v>
      </c>
      <c r="H16" s="3">
        <v>89.121001685489304</v>
      </c>
      <c r="I16" s="3">
        <f t="shared" si="1"/>
        <v>1211.8355713856904</v>
      </c>
      <c r="J16" s="3">
        <f t="shared" si="0"/>
        <v>1153.04</v>
      </c>
      <c r="K16" s="3">
        <f t="shared" si="2"/>
        <v>1027.6007978343657</v>
      </c>
      <c r="L16" s="8">
        <v>4.8517779782994701E-2</v>
      </c>
      <c r="M16" s="11"/>
      <c r="N16" s="8"/>
    </row>
    <row r="17" spans="2:17" x14ac:dyDescent="0.3">
      <c r="B17">
        <v>16</v>
      </c>
      <c r="C17" s="1">
        <v>45108</v>
      </c>
      <c r="D17">
        <v>1363</v>
      </c>
      <c r="E17" s="3">
        <f t="shared" si="3"/>
        <v>1250.0833333333333</v>
      </c>
      <c r="F17" s="3">
        <f t="shared" si="4"/>
        <v>1255</v>
      </c>
      <c r="G17" s="3">
        <v>1.0860557768924304</v>
      </c>
      <c r="H17" s="3">
        <v>112.85969153126278</v>
      </c>
      <c r="I17" s="3">
        <f t="shared" si="1"/>
        <v>1207.694245400663</v>
      </c>
      <c r="J17" s="3">
        <f t="shared" si="0"/>
        <v>1164.616</v>
      </c>
      <c r="K17" s="3">
        <f t="shared" si="2"/>
        <v>1314.3820251237312</v>
      </c>
      <c r="L17" s="8">
        <v>3.5669827495428331E-2</v>
      </c>
      <c r="M17" s="11"/>
      <c r="N17" s="8"/>
    </row>
    <row r="18" spans="2:17" x14ac:dyDescent="0.3">
      <c r="B18">
        <v>17</v>
      </c>
      <c r="C18" s="1">
        <v>45139</v>
      </c>
      <c r="D18">
        <v>1528</v>
      </c>
      <c r="E18" s="3">
        <f t="shared" si="3"/>
        <v>1249.6666666666667</v>
      </c>
      <c r="F18" s="3">
        <f t="shared" si="4"/>
        <v>1249.875</v>
      </c>
      <c r="G18" s="3">
        <v>1.2225222522252226</v>
      </c>
      <c r="H18" s="3">
        <v>121.79283063599568</v>
      </c>
      <c r="I18" s="3">
        <f t="shared" si="1"/>
        <v>1254.5894467029505</v>
      </c>
      <c r="J18" s="3">
        <f t="shared" si="0"/>
        <v>1176.192</v>
      </c>
      <c r="K18" s="3">
        <f t="shared" si="2"/>
        <v>1432.5175305141304</v>
      </c>
      <c r="L18" s="8">
        <v>6.2488527150438226E-2</v>
      </c>
      <c r="M18" s="11"/>
      <c r="N18" s="8"/>
    </row>
    <row r="19" spans="2:17" x14ac:dyDescent="0.3">
      <c r="B19">
        <v>18</v>
      </c>
      <c r="C19" s="1">
        <v>45170</v>
      </c>
      <c r="D19">
        <v>1606</v>
      </c>
      <c r="E19" s="3">
        <f t="shared" si="3"/>
        <v>1246.1666666666667</v>
      </c>
      <c r="F19" s="3">
        <f t="shared" si="4"/>
        <v>1247.9166666666667</v>
      </c>
      <c r="G19" s="3">
        <v>1.2869449081803004</v>
      </c>
      <c r="H19" s="3">
        <v>125.51197001093637</v>
      </c>
      <c r="I19" s="3">
        <f t="shared" si="1"/>
        <v>1279.5592323664928</v>
      </c>
      <c r="J19" s="3">
        <f t="shared" si="0"/>
        <v>1187.768</v>
      </c>
      <c r="K19" s="3">
        <f t="shared" si="2"/>
        <v>1490.7910159594987</v>
      </c>
      <c r="L19" s="8">
        <v>7.1736602764944743E-2</v>
      </c>
      <c r="M19" s="11"/>
      <c r="N19" s="8"/>
    </row>
    <row r="20" spans="2:17" x14ac:dyDescent="0.3">
      <c r="B20">
        <v>19</v>
      </c>
      <c r="C20" s="1">
        <v>45200</v>
      </c>
      <c r="D20">
        <v>1001</v>
      </c>
      <c r="E20" s="3">
        <f t="shared" si="3"/>
        <v>1248.75</v>
      </c>
      <c r="F20" s="3">
        <f t="shared" si="4"/>
        <v>1247.4583333333335</v>
      </c>
      <c r="G20" s="3">
        <v>0.80243161094224913</v>
      </c>
      <c r="H20" s="3">
        <v>74.701659274962211</v>
      </c>
      <c r="I20" s="3">
        <f t="shared" si="1"/>
        <v>1339.9970090564047</v>
      </c>
      <c r="J20" s="3">
        <f t="shared" si="0"/>
        <v>1199.3440000000001</v>
      </c>
      <c r="K20" s="3">
        <f t="shared" si="2"/>
        <v>895.92986841470281</v>
      </c>
      <c r="L20" s="8">
        <v>0.10496516641887829</v>
      </c>
      <c r="M20" s="11"/>
      <c r="N20" s="8"/>
    </row>
    <row r="21" spans="2:17" x14ac:dyDescent="0.3">
      <c r="B21">
        <v>20</v>
      </c>
      <c r="C21" s="1">
        <v>45231</v>
      </c>
      <c r="D21">
        <v>1070</v>
      </c>
      <c r="E21" s="3">
        <f t="shared" si="3"/>
        <v>1256.6666666666667</v>
      </c>
      <c r="F21" s="3">
        <f t="shared" si="4"/>
        <v>1252.7083333333335</v>
      </c>
      <c r="G21" s="3">
        <v>0.85414934308997159</v>
      </c>
      <c r="H21" s="3">
        <v>87.182399476896521</v>
      </c>
      <c r="I21" s="3">
        <f t="shared" si="1"/>
        <v>1227.3119418828933</v>
      </c>
      <c r="J21" s="3">
        <f t="shared" si="0"/>
        <v>1210.92</v>
      </c>
      <c r="K21" s="3">
        <f t="shared" si="2"/>
        <v>1055.7091117456355</v>
      </c>
      <c r="L21" s="8">
        <v>1.3355970331181792E-2</v>
      </c>
      <c r="M21" s="11"/>
      <c r="N21" s="8"/>
    </row>
    <row r="22" spans="2:17" x14ac:dyDescent="0.3">
      <c r="B22">
        <v>21</v>
      </c>
      <c r="C22" s="1">
        <v>45261</v>
      </c>
      <c r="D22">
        <v>957</v>
      </c>
      <c r="E22" s="3">
        <f t="shared" si="3"/>
        <v>1265</v>
      </c>
      <c r="F22" s="3">
        <f t="shared" si="4"/>
        <v>1260.8333333333335</v>
      </c>
      <c r="G22" s="3">
        <v>0.7590218109715795</v>
      </c>
      <c r="H22" s="3">
        <v>72.611789496654538</v>
      </c>
      <c r="I22" s="3">
        <f t="shared" si="1"/>
        <v>1317.9677937066847</v>
      </c>
      <c r="J22" s="3">
        <f t="shared" si="0"/>
        <v>1222.4960000000001</v>
      </c>
      <c r="K22" s="3">
        <f t="shared" si="2"/>
        <v>887.67622212502192</v>
      </c>
      <c r="L22" s="8">
        <v>7.2438639367793184E-2</v>
      </c>
      <c r="M22" s="11"/>
      <c r="N22" s="8"/>
    </row>
    <row r="23" spans="2:17" x14ac:dyDescent="0.3">
      <c r="B23">
        <v>22</v>
      </c>
      <c r="C23" s="1">
        <v>45292</v>
      </c>
      <c r="D23">
        <v>1100</v>
      </c>
      <c r="E23" s="3">
        <f t="shared" si="3"/>
        <v>1276.5833333333333</v>
      </c>
      <c r="F23" s="3">
        <f t="shared" si="4"/>
        <v>1270.7916666666665</v>
      </c>
      <c r="G23" s="3">
        <v>0.86560215089019321</v>
      </c>
      <c r="H23" s="3">
        <v>92.762751167469887</v>
      </c>
      <c r="I23" s="3">
        <f t="shared" si="1"/>
        <v>1185.8208021602413</v>
      </c>
      <c r="J23" s="3">
        <f t="shared" si="0"/>
        <v>1234.0720000000001</v>
      </c>
      <c r="K23" s="3">
        <f t="shared" si="2"/>
        <v>1144.7591385874191</v>
      </c>
      <c r="L23" s="8">
        <v>4.0690125988562829E-2</v>
      </c>
      <c r="M23" s="11"/>
      <c r="N23" s="8"/>
    </row>
    <row r="24" spans="2:17" x14ac:dyDescent="0.3">
      <c r="B24">
        <v>23</v>
      </c>
      <c r="C24" s="1">
        <v>45323</v>
      </c>
      <c r="D24">
        <v>1275</v>
      </c>
      <c r="E24" s="3">
        <f t="shared" si="3"/>
        <v>1279.4166666666667</v>
      </c>
      <c r="F24" s="3">
        <f t="shared" si="4"/>
        <v>1278</v>
      </c>
      <c r="G24" s="3">
        <v>0.99765258215962438</v>
      </c>
      <c r="H24" s="3">
        <v>101.93915497578583</v>
      </c>
      <c r="I24" s="3">
        <f t="shared" si="1"/>
        <v>1250.7460948669409</v>
      </c>
      <c r="J24" s="3">
        <f t="shared" si="0"/>
        <v>1245.6479999999999</v>
      </c>
      <c r="K24" s="3">
        <f t="shared" si="2"/>
        <v>1269.8030451727764</v>
      </c>
      <c r="L24" s="8">
        <v>4.0760430017440273E-3</v>
      </c>
      <c r="M24" s="11"/>
      <c r="N24" s="8"/>
    </row>
    <row r="25" spans="2:17" x14ac:dyDescent="0.3">
      <c r="B25">
        <v>24</v>
      </c>
      <c r="C25" s="1">
        <v>45352</v>
      </c>
      <c r="D25">
        <v>1290</v>
      </c>
      <c r="E25" s="3">
        <f t="shared" si="3"/>
        <v>1276.6666666666667</v>
      </c>
      <c r="F25" s="3">
        <f t="shared" si="4"/>
        <v>1278.0416666666667</v>
      </c>
      <c r="G25" s="3">
        <v>1.0093567632771492</v>
      </c>
      <c r="H25" s="3">
        <v>104.35886803759335</v>
      </c>
      <c r="I25" s="3">
        <f t="shared" si="1"/>
        <v>1236.1191954815968</v>
      </c>
      <c r="J25" s="3">
        <f t="shared" si="0"/>
        <v>1257.2239999999999</v>
      </c>
      <c r="K25" s="3">
        <f t="shared" si="2"/>
        <v>1312.0247350969526</v>
      </c>
      <c r="L25" s="8">
        <v>1.7073438059653143E-2</v>
      </c>
      <c r="M25" s="11"/>
      <c r="N25" s="8"/>
    </row>
    <row r="26" spans="2:17" x14ac:dyDescent="0.3">
      <c r="B26">
        <v>25</v>
      </c>
      <c r="C26" s="1">
        <v>45383</v>
      </c>
      <c r="D26">
        <v>1360</v>
      </c>
      <c r="E26" s="3">
        <f t="shared" si="3"/>
        <v>1283.3333333333333</v>
      </c>
      <c r="F26" s="3">
        <f t="shared" si="4"/>
        <v>1280</v>
      </c>
      <c r="G26" s="3">
        <v>1.0625</v>
      </c>
      <c r="H26" s="3">
        <v>106.48620126246995</v>
      </c>
      <c r="I26" s="3">
        <f t="shared" si="1"/>
        <v>1277.160781280794</v>
      </c>
      <c r="J26" s="3">
        <f t="shared" si="0"/>
        <v>1268.8</v>
      </c>
      <c r="K26" s="3">
        <f t="shared" si="2"/>
        <v>1351.0969216182189</v>
      </c>
      <c r="L26" s="8">
        <v>6.5463811630743695E-3</v>
      </c>
      <c r="M26" s="11"/>
      <c r="N26" s="8"/>
    </row>
    <row r="27" spans="2:17" x14ac:dyDescent="0.3">
      <c r="B27">
        <v>26</v>
      </c>
      <c r="C27" s="1">
        <v>45413</v>
      </c>
      <c r="D27">
        <v>1450</v>
      </c>
      <c r="E27" s="3">
        <f t="shared" si="3"/>
        <v>1285.1666666666667</v>
      </c>
      <c r="F27" s="3">
        <f t="shared" si="4"/>
        <v>1284.25</v>
      </c>
      <c r="G27" s="3">
        <v>1.1290636558302511</v>
      </c>
      <c r="H27" s="3">
        <v>110.67168244448357</v>
      </c>
      <c r="I27" s="3">
        <f t="shared" si="1"/>
        <v>1310.1815821110031</v>
      </c>
      <c r="J27" s="3">
        <f t="shared" si="0"/>
        <v>1280.376</v>
      </c>
      <c r="K27" s="3">
        <f t="shared" si="2"/>
        <v>1417.0136608153809</v>
      </c>
      <c r="L27" s="8">
        <v>2.2749199437668309E-2</v>
      </c>
      <c r="M27" s="11"/>
      <c r="N27" s="8"/>
    </row>
    <row r="28" spans="2:17" x14ac:dyDescent="0.3">
      <c r="B28">
        <v>27</v>
      </c>
      <c r="C28" s="1">
        <v>45444</v>
      </c>
      <c r="D28">
        <v>1180</v>
      </c>
      <c r="E28" s="3">
        <f t="shared" si="3"/>
        <v>1280.0833333333333</v>
      </c>
      <c r="F28" s="3">
        <f t="shared" si="4"/>
        <v>1282.625</v>
      </c>
      <c r="G28" s="3">
        <v>0.91998830523340802</v>
      </c>
      <c r="H28" s="3">
        <v>89.121001685489304</v>
      </c>
      <c r="I28" s="3">
        <f t="shared" si="1"/>
        <v>1324.0425687362172</v>
      </c>
      <c r="J28" s="3">
        <f t="shared" si="0"/>
        <v>1291.952</v>
      </c>
      <c r="K28" s="3">
        <f t="shared" si="2"/>
        <v>1151.4005636957127</v>
      </c>
      <c r="L28" s="8">
        <v>2.4236810427362154E-2</v>
      </c>
      <c r="M28" s="11"/>
      <c r="N28" s="8"/>
    </row>
    <row r="29" spans="2:17" x14ac:dyDescent="0.3">
      <c r="B29">
        <v>28</v>
      </c>
      <c r="C29" s="1">
        <v>45474</v>
      </c>
      <c r="D29">
        <v>1502</v>
      </c>
      <c r="E29" s="3">
        <f t="shared" si="3"/>
        <v>1291.5833333333333</v>
      </c>
      <c r="F29" s="3">
        <f t="shared" si="4"/>
        <v>1285.8333333333333</v>
      </c>
      <c r="G29" s="3">
        <v>1.1681140635126377</v>
      </c>
      <c r="H29" s="3">
        <v>112.85969153126278</v>
      </c>
      <c r="I29" s="3">
        <f t="shared" si="1"/>
        <v>1330.8560209771063</v>
      </c>
      <c r="J29" s="3">
        <f t="shared" si="0"/>
        <v>1303.528</v>
      </c>
      <c r="K29" s="3">
        <f t="shared" si="2"/>
        <v>1471.157679823639</v>
      </c>
      <c r="L29" s="8">
        <v>2.0534167893715712E-2</v>
      </c>
      <c r="M29" s="11"/>
      <c r="N29" s="8"/>
    </row>
    <row r="30" spans="2:17" x14ac:dyDescent="0.3">
      <c r="B30">
        <v>29</v>
      </c>
      <c r="C30" s="1">
        <v>45505</v>
      </c>
      <c r="D30">
        <v>1562</v>
      </c>
      <c r="E30" s="3">
        <f t="shared" si="3"/>
        <v>1290.0833333333333</v>
      </c>
      <c r="F30" s="3">
        <f t="shared" si="4"/>
        <v>1290.8333333333333</v>
      </c>
      <c r="G30" s="3">
        <v>1.2100710135571338</v>
      </c>
      <c r="H30" s="3">
        <v>121.79283063599568</v>
      </c>
      <c r="I30" s="3">
        <f t="shared" si="1"/>
        <v>1282.5057040248748</v>
      </c>
      <c r="J30" s="3">
        <f t="shared" si="0"/>
        <v>1315.104</v>
      </c>
      <c r="K30" s="3">
        <f t="shared" si="2"/>
        <v>1601.7023874072047</v>
      </c>
      <c r="L30" s="8">
        <v>2.5417661592320548E-2</v>
      </c>
      <c r="M30" s="11"/>
      <c r="N30" s="8"/>
    </row>
    <row r="31" spans="2:17" x14ac:dyDescent="0.3">
      <c r="B31">
        <v>30</v>
      </c>
      <c r="C31" s="1">
        <v>45536</v>
      </c>
      <c r="D31">
        <v>1573</v>
      </c>
      <c r="E31" s="3">
        <f t="shared" si="3"/>
        <v>1288.75</v>
      </c>
      <c r="F31" s="3">
        <f t="shared" si="4"/>
        <v>1289.4166666666665</v>
      </c>
      <c r="G31" s="3">
        <v>1.2199314935694436</v>
      </c>
      <c r="H31" s="3">
        <v>125.51197001093637</v>
      </c>
      <c r="I31" s="3">
        <f t="shared" si="1"/>
        <v>1253.2669193726606</v>
      </c>
      <c r="J31" s="3">
        <f t="shared" si="0"/>
        <v>1326.68</v>
      </c>
      <c r="K31" s="3">
        <f t="shared" si="2"/>
        <v>1665.1422037410907</v>
      </c>
      <c r="L31" s="8">
        <v>5.8577370464774778E-2</v>
      </c>
      <c r="M31" s="11"/>
      <c r="N31" s="8"/>
      <c r="P31" t="s">
        <v>53</v>
      </c>
      <c r="Q31" t="s">
        <v>45</v>
      </c>
    </row>
    <row r="32" spans="2:17" x14ac:dyDescent="0.3">
      <c r="B32">
        <v>31</v>
      </c>
      <c r="C32" s="1">
        <v>45566</v>
      </c>
      <c r="D32">
        <v>1081</v>
      </c>
      <c r="F32" s="3"/>
      <c r="H32" s="3">
        <v>74.701659274962211</v>
      </c>
      <c r="I32" s="3">
        <f t="shared" si="1"/>
        <v>1447.0896771128605</v>
      </c>
      <c r="J32" s="3">
        <f t="shared" si="0"/>
        <v>1338.2559999999999</v>
      </c>
      <c r="K32" s="3">
        <f t="shared" si="2"/>
        <v>999.69943734673814</v>
      </c>
      <c r="L32" s="8">
        <v>7.5208661103850008E-2</v>
      </c>
      <c r="M32" s="11"/>
      <c r="N32" s="8"/>
      <c r="P32" s="1">
        <v>45748</v>
      </c>
      <c r="Q32" s="10">
        <v>1253.81</v>
      </c>
    </row>
    <row r="33" spans="2:17" x14ac:dyDescent="0.3">
      <c r="B33">
        <v>32</v>
      </c>
      <c r="C33" s="1">
        <v>45597</v>
      </c>
      <c r="D33">
        <v>1092</v>
      </c>
      <c r="G33"/>
      <c r="H33" s="3">
        <v>87.182399476896521</v>
      </c>
      <c r="I33" s="3">
        <f t="shared" si="1"/>
        <v>1252.5463930244107</v>
      </c>
      <c r="J33" s="3">
        <f t="shared" si="0"/>
        <v>1349.8319999999999</v>
      </c>
      <c r="K33" s="3">
        <f t="shared" si="2"/>
        <v>1176.8159265069817</v>
      </c>
      <c r="L33" s="8">
        <v>7.7670262369030837E-2</v>
      </c>
      <c r="M33" s="11"/>
      <c r="N33" s="8"/>
      <c r="P33" s="1">
        <v>45778</v>
      </c>
      <c r="Q33" s="10">
        <v>1330.14</v>
      </c>
    </row>
    <row r="34" spans="2:17" x14ac:dyDescent="0.3">
      <c r="B34">
        <v>33</v>
      </c>
      <c r="C34" s="1">
        <v>45627</v>
      </c>
      <c r="D34">
        <v>896</v>
      </c>
      <c r="G34"/>
      <c r="H34" s="3">
        <v>72.611789496654538</v>
      </c>
      <c r="I34" s="3">
        <f t="shared" si="1"/>
        <v>1233.9593972426221</v>
      </c>
      <c r="J34" s="3">
        <f t="shared" si="0"/>
        <v>1361.4079999999999</v>
      </c>
      <c r="K34" s="3">
        <f t="shared" si="2"/>
        <v>988.54271115061454</v>
      </c>
      <c r="L34" s="8">
        <v>0.10328427583773944</v>
      </c>
      <c r="M34" s="11"/>
      <c r="N34" s="8"/>
      <c r="P34" s="1">
        <v>45809</v>
      </c>
      <c r="Q34" s="10">
        <v>1038.47</v>
      </c>
    </row>
    <row r="35" spans="2:17" x14ac:dyDescent="0.3">
      <c r="B35">
        <v>34</v>
      </c>
      <c r="C35" s="1">
        <v>45658</v>
      </c>
      <c r="D35">
        <v>1238</v>
      </c>
      <c r="G35"/>
      <c r="H35" s="3">
        <v>92.762751167469887</v>
      </c>
      <c r="I35" s="3">
        <f t="shared" si="1"/>
        <v>1334.5874118857989</v>
      </c>
      <c r="J35" s="3">
        <f t="shared" si="0"/>
        <v>1372.9839999999999</v>
      </c>
      <c r="K35" s="3">
        <f t="shared" si="2"/>
        <v>1273.6177314891747</v>
      </c>
      <c r="L35" s="8">
        <v>2.877038084747555E-2</v>
      </c>
      <c r="M35" s="11"/>
      <c r="N35" s="8"/>
      <c r="P35" s="1">
        <v>45839</v>
      </c>
      <c r="Q35" s="10">
        <v>1300.1400000000001</v>
      </c>
    </row>
    <row r="36" spans="2:17" x14ac:dyDescent="0.3">
      <c r="B36">
        <v>35</v>
      </c>
      <c r="C36" s="1">
        <v>45689</v>
      </c>
      <c r="D36">
        <v>1257</v>
      </c>
      <c r="G36"/>
      <c r="H36" s="3">
        <v>101.93915497578583</v>
      </c>
      <c r="I36" s="3">
        <f t="shared" si="1"/>
        <v>1233.0885029394076</v>
      </c>
      <c r="J36" s="3">
        <f t="shared" si="0"/>
        <v>1384.56</v>
      </c>
      <c r="K36" s="3">
        <f t="shared" si="2"/>
        <v>1411.4087641327401</v>
      </c>
      <c r="L36" s="8">
        <v>0.12283911227743842</v>
      </c>
      <c r="M36" s="11"/>
      <c r="N36" s="8"/>
      <c r="P36" s="1">
        <v>45870</v>
      </c>
      <c r="Q36">
        <v>1593</v>
      </c>
    </row>
    <row r="37" spans="2:17" x14ac:dyDescent="0.3">
      <c r="B37">
        <v>36</v>
      </c>
      <c r="C37" s="1">
        <v>45717</v>
      </c>
      <c r="D37">
        <v>1274</v>
      </c>
      <c r="G37"/>
      <c r="H37" s="3">
        <v>104.35886803759335</v>
      </c>
      <c r="I37" s="3">
        <f t="shared" si="1"/>
        <v>1220.7874845298868</v>
      </c>
      <c r="J37" s="3">
        <f t="shared" si="0"/>
        <v>1396.136</v>
      </c>
      <c r="K37" s="3">
        <f t="shared" si="2"/>
        <v>1456.9917258653345</v>
      </c>
      <c r="L37" s="8">
        <v>0.14363557760230339</v>
      </c>
      <c r="M37" s="11"/>
      <c r="N37" s="8"/>
      <c r="P37" s="1">
        <v>45901</v>
      </c>
      <c r="Q37">
        <v>1672</v>
      </c>
    </row>
    <row r="38" spans="2:17" x14ac:dyDescent="0.3">
      <c r="B38">
        <v>37</v>
      </c>
      <c r="C38" s="1">
        <v>45748</v>
      </c>
      <c r="G38"/>
      <c r="H38" s="3">
        <v>106.48620126246995</v>
      </c>
      <c r="J38" s="3">
        <f t="shared" si="0"/>
        <v>1407.712</v>
      </c>
      <c r="K38" s="3">
        <f t="shared" si="2"/>
        <v>1499.0190335159409</v>
      </c>
      <c r="M38" s="11"/>
      <c r="P38" s="1">
        <v>45931</v>
      </c>
      <c r="Q38">
        <v>1089</v>
      </c>
    </row>
    <row r="39" spans="2:17" x14ac:dyDescent="0.3">
      <c r="B39">
        <v>38</v>
      </c>
      <c r="C39" s="1">
        <v>45778</v>
      </c>
      <c r="G39"/>
      <c r="H39" s="3">
        <v>110.67168244448357</v>
      </c>
      <c r="J39" s="3">
        <f t="shared" si="0"/>
        <v>1419.288</v>
      </c>
      <c r="K39" s="3">
        <f t="shared" si="2"/>
        <v>1570.749908332662</v>
      </c>
      <c r="M39" s="11"/>
      <c r="P39" s="1">
        <v>45962</v>
      </c>
      <c r="Q39">
        <v>1196</v>
      </c>
    </row>
    <row r="40" spans="2:17" x14ac:dyDescent="0.3">
      <c r="B40">
        <v>39</v>
      </c>
      <c r="C40" s="1">
        <v>45809</v>
      </c>
      <c r="G40"/>
      <c r="H40" s="3">
        <v>89.121001685489304</v>
      </c>
      <c r="J40" s="3">
        <f t="shared" si="0"/>
        <v>1430.864</v>
      </c>
      <c r="K40" s="3">
        <f t="shared" si="2"/>
        <v>1275.2003295570598</v>
      </c>
      <c r="M40" s="11"/>
      <c r="P40" s="1">
        <v>45992</v>
      </c>
      <c r="Q40">
        <v>1011</v>
      </c>
    </row>
    <row r="41" spans="2:17" x14ac:dyDescent="0.3">
      <c r="B41">
        <v>40</v>
      </c>
      <c r="C41" s="1">
        <v>45839</v>
      </c>
      <c r="G41"/>
      <c r="H41" s="3">
        <v>112.85969153126278</v>
      </c>
      <c r="J41" s="3">
        <f t="shared" si="0"/>
        <v>1442.44</v>
      </c>
      <c r="K41" s="3">
        <f t="shared" si="2"/>
        <v>1627.933334523547</v>
      </c>
      <c r="M41" s="11"/>
      <c r="P41" s="1">
        <v>46023</v>
      </c>
      <c r="Q41">
        <v>1293</v>
      </c>
    </row>
    <row r="42" spans="2:17" x14ac:dyDescent="0.3">
      <c r="B42">
        <v>41</v>
      </c>
      <c r="C42" s="1">
        <v>45870</v>
      </c>
      <c r="G42"/>
      <c r="H42" s="3">
        <v>121.79283063599568</v>
      </c>
      <c r="J42" s="3">
        <f t="shared" si="0"/>
        <v>1454.0160000000001</v>
      </c>
      <c r="K42" s="3">
        <f t="shared" si="2"/>
        <v>1770.8872443002792</v>
      </c>
      <c r="M42" s="11"/>
      <c r="P42" s="1">
        <v>46054</v>
      </c>
      <c r="Q42">
        <v>1387</v>
      </c>
    </row>
    <row r="43" spans="2:17" x14ac:dyDescent="0.3">
      <c r="B43">
        <v>42</v>
      </c>
      <c r="C43" s="1">
        <v>45901</v>
      </c>
      <c r="G43"/>
      <c r="H43" s="3">
        <v>125.51197001093637</v>
      </c>
      <c r="J43" s="3">
        <f t="shared" si="0"/>
        <v>1465.5920000000001</v>
      </c>
      <c r="K43" s="3">
        <f t="shared" si="2"/>
        <v>1839.4933915226825</v>
      </c>
      <c r="M43" s="11"/>
      <c r="P43" s="1">
        <v>46082</v>
      </c>
      <c r="Q43">
        <v>1406</v>
      </c>
    </row>
    <row r="44" spans="2:17" x14ac:dyDescent="0.3">
      <c r="B44">
        <v>43</v>
      </c>
      <c r="C44" s="1">
        <v>45931</v>
      </c>
      <c r="G44"/>
      <c r="H44" s="3">
        <v>74.701659274962211</v>
      </c>
      <c r="J44" s="3">
        <f t="shared" si="0"/>
        <v>1477.1680000000001</v>
      </c>
      <c r="K44" s="3">
        <f t="shared" si="2"/>
        <v>1103.4690062787738</v>
      </c>
      <c r="M44" s="11"/>
    </row>
    <row r="45" spans="2:17" x14ac:dyDescent="0.3">
      <c r="B45">
        <v>44</v>
      </c>
      <c r="C45" s="1">
        <v>45962</v>
      </c>
      <c r="G45"/>
      <c r="H45" s="3">
        <v>87.182399476896521</v>
      </c>
      <c r="J45" s="3">
        <f t="shared" si="0"/>
        <v>1488.7440000000001</v>
      </c>
      <c r="K45" s="3">
        <f t="shared" si="2"/>
        <v>1297.9227412683283</v>
      </c>
      <c r="M45" s="11"/>
    </row>
    <row r="46" spans="2:17" x14ac:dyDescent="0.3">
      <c r="B46">
        <v>45</v>
      </c>
      <c r="C46" s="1">
        <v>45992</v>
      </c>
      <c r="G46"/>
      <c r="H46" s="3">
        <v>72.611789496654538</v>
      </c>
      <c r="J46" s="3">
        <f t="shared" si="0"/>
        <v>1500.3200000000002</v>
      </c>
      <c r="K46" s="3">
        <f t="shared" si="2"/>
        <v>1089.4092001762076</v>
      </c>
      <c r="M46" s="11"/>
    </row>
    <row r="47" spans="2:17" x14ac:dyDescent="0.3">
      <c r="B47">
        <v>46</v>
      </c>
      <c r="C47" s="1">
        <v>46023</v>
      </c>
      <c r="G47"/>
      <c r="H47" s="3">
        <v>92.762751167469887</v>
      </c>
      <c r="J47" s="3">
        <f t="shared" si="0"/>
        <v>1511.896</v>
      </c>
      <c r="K47" s="3">
        <f t="shared" si="2"/>
        <v>1402.4763243909306</v>
      </c>
      <c r="M47" s="11"/>
    </row>
    <row r="48" spans="2:17" x14ac:dyDescent="0.3">
      <c r="B48">
        <v>47</v>
      </c>
      <c r="C48" s="1">
        <v>46054</v>
      </c>
      <c r="G48"/>
      <c r="H48" s="3">
        <v>101.93915497578583</v>
      </c>
      <c r="J48" s="3">
        <f t="shared" si="0"/>
        <v>1523.472</v>
      </c>
      <c r="K48" s="3">
        <f t="shared" si="2"/>
        <v>1553.0144830927038</v>
      </c>
      <c r="M48" s="11"/>
    </row>
    <row r="49" spans="2:13" x14ac:dyDescent="0.3">
      <c r="B49">
        <v>48</v>
      </c>
      <c r="C49" s="1">
        <v>46082</v>
      </c>
      <c r="G49"/>
      <c r="H49" s="3">
        <v>104.35886803759335</v>
      </c>
      <c r="J49" s="3">
        <f>11.576*B49+979.4</f>
        <v>1535.048</v>
      </c>
      <c r="K49" s="3">
        <f t="shared" si="2"/>
        <v>1601.958716633716</v>
      </c>
      <c r="M49" s="11"/>
    </row>
    <row r="50" spans="2:13" x14ac:dyDescent="0.3">
      <c r="G50"/>
      <c r="K50" s="2" t="s">
        <v>47</v>
      </c>
      <c r="L50">
        <f>AVERAGE(L2:L37)</f>
        <v>0.11929354092894566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Jindal</dc:creator>
  <cp:lastModifiedBy>Vansh Jindal</cp:lastModifiedBy>
  <cp:lastPrinted>2025-04-07T05:27:21Z</cp:lastPrinted>
  <dcterms:created xsi:type="dcterms:W3CDTF">2025-03-16T13:32:04Z</dcterms:created>
  <dcterms:modified xsi:type="dcterms:W3CDTF">2025-05-06T18:18:05Z</dcterms:modified>
</cp:coreProperties>
</file>
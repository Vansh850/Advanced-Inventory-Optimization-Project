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77" documentId="8_{9C27BD3C-846C-4CCA-B13C-FECFED93BFB2}" xr6:coauthVersionLast="47" xr6:coauthVersionMax="47" xr10:uidLastSave="{464FB096-9768-450E-81C6-EA5B31A07B2D}"/>
  <bookViews>
    <workbookView xWindow="-108" yWindow="-108" windowWidth="23256" windowHeight="12456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8" i="5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J24" i="3" l="1"/>
  <c r="K24" i="3" s="1"/>
  <c r="J29" i="3"/>
  <c r="K29" i="3" s="1"/>
  <c r="J39" i="3"/>
  <c r="K39" i="3" s="1"/>
  <c r="J40" i="3"/>
  <c r="K40" i="3" s="1"/>
  <c r="J42" i="3"/>
  <c r="K42" i="3" s="1"/>
  <c r="J43" i="3"/>
  <c r="K43" i="3" s="1"/>
  <c r="J44" i="3"/>
  <c r="K44" i="3" s="1"/>
  <c r="J45" i="3"/>
  <c r="K45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J61" i="3"/>
  <c r="J32" i="3"/>
  <c r="K32" i="3" s="1"/>
  <c r="J34" i="3"/>
  <c r="K34" i="3" s="1"/>
  <c r="J35" i="3"/>
  <c r="K35" i="3" s="1"/>
  <c r="J36" i="3"/>
  <c r="K36" i="3" s="1"/>
  <c r="J37" i="3"/>
  <c r="K37" i="3" s="1"/>
  <c r="J38" i="3"/>
  <c r="K38" i="3" s="1"/>
  <c r="J68" i="3"/>
  <c r="J69" i="3"/>
  <c r="J70" i="3"/>
  <c r="H30" i="3"/>
  <c r="H26" i="3"/>
  <c r="H25" i="3"/>
  <c r="H35" i="3"/>
  <c r="H31" i="3"/>
  <c r="H28" i="3"/>
  <c r="H27" i="3"/>
  <c r="J63" i="3"/>
  <c r="J65" i="3"/>
  <c r="J66" i="3"/>
  <c r="J67" i="3"/>
  <c r="J41" i="3"/>
  <c r="K41" i="3" s="1"/>
  <c r="J64" i="3"/>
  <c r="J11" i="3"/>
  <c r="J10" i="3"/>
  <c r="J30" i="3"/>
  <c r="K30" i="3" s="1"/>
  <c r="J31" i="3"/>
  <c r="K31" i="3" s="1"/>
  <c r="J71" i="3"/>
  <c r="H32" i="3"/>
  <c r="H33" i="3"/>
  <c r="H34" i="3"/>
  <c r="J46" i="3"/>
  <c r="K46" i="3" s="1"/>
  <c r="J47" i="3"/>
  <c r="K47" i="3" s="1"/>
  <c r="J48" i="3"/>
  <c r="K48" i="3" s="1"/>
  <c r="J49" i="3"/>
  <c r="K49" i="3" s="1"/>
  <c r="J50" i="3"/>
  <c r="K50" i="3" s="1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9" i="3"/>
  <c r="F41" i="3"/>
  <c r="F37" i="3" l="1"/>
  <c r="H29" i="3"/>
  <c r="J33" i="3"/>
  <c r="K33" i="3" s="1"/>
  <c r="H24" i="3"/>
  <c r="J25" i="3"/>
  <c r="K25" i="3" s="1"/>
  <c r="J27" i="3"/>
  <c r="K27" i="3" s="1"/>
  <c r="J26" i="3"/>
  <c r="K26" i="3" s="1"/>
  <c r="J28" i="3"/>
  <c r="K28" i="3" s="1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9" i="3" s="1"/>
  <c r="K72" i="3"/>
  <c r="N3" i="3" l="1"/>
  <c r="N4" i="3"/>
  <c r="N5" i="3"/>
  <c r="N6" i="3"/>
  <c r="N7" i="3"/>
  <c r="N8" i="3"/>
  <c r="N13" i="3"/>
  <c r="N12" i="3"/>
  <c r="N11" i="3"/>
  <c r="N10" i="3"/>
  <c r="N14" i="3"/>
</calcChain>
</file>

<file path=xl/sharedStrings.xml><?xml version="1.0" encoding="utf-8"?>
<sst xmlns="http://schemas.openxmlformats.org/spreadsheetml/2006/main" count="132" uniqueCount="55">
  <si>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</si>
  <si>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</si>
  <si>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</si>
  <si>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</si>
  <si>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</si>
  <si>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</si>
  <si>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</si>
  <si>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</si>
  <si>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</si>
  <si>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</si>
  <si>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</si>
  <si>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</si>
  <si>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</si>
  <si>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</si>
  <si>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</si>
  <si>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</si>
  <si>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</si>
  <si>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</si>
  <si>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</si>
  <si>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</si>
  <si>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</si>
  <si>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</si>
  <si>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</si>
  <si>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</si>
  <si>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</si>
  <si>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</si>
  <si>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</si>
  <si>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</si>
  <si>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</si>
  <si>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</si>
  <si>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</si>
  <si>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</si>
  <si>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</si>
  <si>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</si>
  <si>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</si>
  <si>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</si>
  <si>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</si>
  <si>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</si>
  <si>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</si>
  <si>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</si>
  <si>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</si>
  <si>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</si>
  <si>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</si>
  <si>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</si>
  <si>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</si>
  <si>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</si>
  <si>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</si>
  <si>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</si>
  <si>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</si>
  <si>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Demand</t>
  </si>
  <si>
    <t>12 point Moving Average</t>
  </si>
  <si>
    <t>Centered Moving Average</t>
  </si>
  <si>
    <t>Adjusted Seasonal Indices</t>
  </si>
  <si>
    <t>Error %</t>
  </si>
  <si>
    <t>ratio to Moving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</si>
</sst>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  <xf numFmtId="0" fontId="2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548</c:v>
                </c:pt>
                <c:pt idx="1">
                  <c:v>612</c:v>
                </c:pt>
                <c:pt idx="2">
                  <c:v>632</c:v>
                </c:pt>
                <c:pt idx="3">
                  <c:v>745</c:v>
                </c:pt>
                <c:pt idx="4">
                  <c:v>649</c:v>
                </c:pt>
                <c:pt idx="5">
                  <c:v>789</c:v>
                </c:pt>
                <c:pt idx="6">
                  <c:v>1240</c:v>
                </c:pt>
                <c:pt idx="7">
                  <c:v>1180</c:v>
                </c:pt>
                <c:pt idx="8">
                  <c:v>1160</c:v>
                </c:pt>
                <c:pt idx="9">
                  <c:v>1070</c:v>
                </c:pt>
                <c:pt idx="10">
                  <c:v>1010</c:v>
                </c:pt>
                <c:pt idx="11">
                  <c:v>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E-4807-AB9B-19F2252B4454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1320</c:v>
                </c:pt>
                <c:pt idx="1">
                  <c:v>1360</c:v>
                </c:pt>
                <c:pt idx="2">
                  <c:v>1580</c:v>
                </c:pt>
                <c:pt idx="3">
                  <c:v>1640</c:v>
                </c:pt>
                <c:pt idx="4">
                  <c:v>1580</c:v>
                </c:pt>
                <c:pt idx="5">
                  <c:v>1570</c:v>
                </c:pt>
                <c:pt idx="6">
                  <c:v>1260</c:v>
                </c:pt>
                <c:pt idx="7">
                  <c:v>1390</c:v>
                </c:pt>
                <c:pt idx="8">
                  <c:v>1170</c:v>
                </c:pt>
                <c:pt idx="9">
                  <c:v>1140</c:v>
                </c:pt>
                <c:pt idx="10">
                  <c:v>1040</c:v>
                </c:pt>
                <c:pt idx="11">
                  <c:v>1336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E-4807-AB9B-19F2252B4454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1500</c:v>
                </c:pt>
                <c:pt idx="1">
                  <c:v>1550</c:v>
                </c:pt>
                <c:pt idx="2">
                  <c:v>1740</c:v>
                </c:pt>
                <c:pt idx="3">
                  <c:v>2020</c:v>
                </c:pt>
                <c:pt idx="4">
                  <c:v>1930</c:v>
                </c:pt>
                <c:pt idx="5">
                  <c:v>1800</c:v>
                </c:pt>
                <c:pt idx="6">
                  <c:v>1430</c:v>
                </c:pt>
                <c:pt idx="7">
                  <c:v>1570</c:v>
                </c:pt>
                <c:pt idx="8">
                  <c:v>1320</c:v>
                </c:pt>
                <c:pt idx="9">
                  <c:v>1240</c:v>
                </c:pt>
                <c:pt idx="10">
                  <c:v>1220</c:v>
                </c:pt>
                <c:pt idx="11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2E-4807-AB9B-19F2252B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155583"/>
        <c:axId val="425156063"/>
      </c:lineChart>
      <c:catAx>
        <c:axId val="425155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56063"/>
        <c:crosses val="autoZero"/>
        <c:auto val="1"/>
        <c:lblAlgn val="ctr"/>
        <c:lblOffset val="100"/>
        <c:noMultiLvlLbl val="0"/>
      </c:catAx>
      <c:valAx>
        <c:axId val="4251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5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Sheet4!$A$1:$A$36</c15:sqref>
                  </c15:fullRef>
                </c:ext>
              </c:extLst>
              <c:f>(Sheet4!$A$1,Sheet4!$A$3,Sheet4!$A$5,Sheet4!$A$7,Sheet4!$A$9,Sheet4!$A$11,Sheet4!$A$13,Sheet4!$A$15,Sheet4!$A$17,Sheet4!$A$19,Sheet4!$A$21,Sheet4!$A$23,Sheet4!$A$25,Sheet4!$A$27,Sheet4!$A$29,Sheet4!$A$31,Sheet4!$A$33,Sheet4!$A$35)</c:f>
              <c:numCache>
                <c:formatCode>mmm\-yy</c:formatCode>
                <c:ptCount val="18"/>
                <c:pt idx="0">
                  <c:v>44562</c:v>
                </c:pt>
                <c:pt idx="1">
                  <c:v>44621</c:v>
                </c:pt>
                <c:pt idx="2">
                  <c:v>44682</c:v>
                </c:pt>
                <c:pt idx="3">
                  <c:v>44743</c:v>
                </c:pt>
                <c:pt idx="4">
                  <c:v>44805</c:v>
                </c:pt>
                <c:pt idx="5">
                  <c:v>44866</c:v>
                </c:pt>
                <c:pt idx="6">
                  <c:v>44927</c:v>
                </c:pt>
                <c:pt idx="7">
                  <c:v>44986</c:v>
                </c:pt>
                <c:pt idx="8">
                  <c:v>45047</c:v>
                </c:pt>
                <c:pt idx="9">
                  <c:v>45108</c:v>
                </c:pt>
                <c:pt idx="10">
                  <c:v>45170</c:v>
                </c:pt>
                <c:pt idx="11">
                  <c:v>45231</c:v>
                </c:pt>
                <c:pt idx="12">
                  <c:v>45292</c:v>
                </c:pt>
                <c:pt idx="13">
                  <c:v>45352</c:v>
                </c:pt>
                <c:pt idx="14">
                  <c:v>45413</c:v>
                </c:pt>
                <c:pt idx="15">
                  <c:v>45474</c:v>
                </c:pt>
                <c:pt idx="16">
                  <c:v>45536</c:v>
                </c:pt>
                <c:pt idx="17">
                  <c:v>45597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Sheet4!$B$1:$B$36</c15:sqref>
                  </c15:fullRef>
                </c:ext>
              </c:extLst>
              <c:f>(Sheet4!$B$1,Sheet4!$B$3,Sheet4!$B$5,Sheet4!$B$7,Sheet4!$B$9,Sheet4!$B$11,Sheet4!$B$13,Sheet4!$B$15,Sheet4!$B$17,Sheet4!$B$19,Sheet4!$B$21,Sheet4!$B$23,Sheet4!$B$25,Sheet4!$B$27,Sheet4!$B$29,Sheet4!$B$31,Sheet4!$B$33,Sheet4!$B$35)</c:f>
              <c:numCache>
                <c:formatCode>General</c:formatCode>
                <c:ptCount val="18"/>
                <c:pt idx="0">
                  <c:v>647</c:v>
                </c:pt>
                <c:pt idx="1">
                  <c:v>1065</c:v>
                </c:pt>
                <c:pt idx="2">
                  <c:v>512</c:v>
                </c:pt>
                <c:pt idx="3">
                  <c:v>866</c:v>
                </c:pt>
                <c:pt idx="4">
                  <c:v>556</c:v>
                </c:pt>
                <c:pt idx="5">
                  <c:v>785</c:v>
                </c:pt>
                <c:pt idx="6">
                  <c:v>1228</c:v>
                </c:pt>
                <c:pt idx="7">
                  <c:v>1441</c:v>
                </c:pt>
                <c:pt idx="8">
                  <c:v>1123</c:v>
                </c:pt>
                <c:pt idx="9">
                  <c:v>1152</c:v>
                </c:pt>
                <c:pt idx="10">
                  <c:v>761</c:v>
                </c:pt>
                <c:pt idx="11">
                  <c:v>985</c:v>
                </c:pt>
                <c:pt idx="12">
                  <c:v>1478</c:v>
                </c:pt>
                <c:pt idx="13">
                  <c:v>646</c:v>
                </c:pt>
                <c:pt idx="14">
                  <c:v>1652</c:v>
                </c:pt>
                <c:pt idx="15">
                  <c:v>1659</c:v>
                </c:pt>
                <c:pt idx="16">
                  <c:v>973</c:v>
                </c:pt>
                <c:pt idx="17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6-4202-A0E3-5AD1C3B5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09392"/>
        <c:axId val="423808432"/>
      </c:lineChart>
      <c:dateAx>
        <c:axId val="42380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8432"/>
        <c:crosses val="autoZero"/>
        <c:auto val="1"/>
        <c:lblOffset val="100"/>
        <c:baseTimeUnit val="months"/>
      </c:dateAx>
      <c:valAx>
        <c:axId val="423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548</c:v>
                </c:pt>
                <c:pt idx="1">
                  <c:v>612</c:v>
                </c:pt>
                <c:pt idx="2">
                  <c:v>632</c:v>
                </c:pt>
                <c:pt idx="3">
                  <c:v>745</c:v>
                </c:pt>
                <c:pt idx="4">
                  <c:v>649</c:v>
                </c:pt>
                <c:pt idx="5">
                  <c:v>789</c:v>
                </c:pt>
                <c:pt idx="6">
                  <c:v>1240</c:v>
                </c:pt>
                <c:pt idx="7">
                  <c:v>1180</c:v>
                </c:pt>
                <c:pt idx="8">
                  <c:v>1160</c:v>
                </c:pt>
                <c:pt idx="9">
                  <c:v>1070</c:v>
                </c:pt>
                <c:pt idx="10">
                  <c:v>1010</c:v>
                </c:pt>
                <c:pt idx="11">
                  <c:v>1000</c:v>
                </c:pt>
                <c:pt idx="12">
                  <c:v>1320</c:v>
                </c:pt>
                <c:pt idx="13">
                  <c:v>1360</c:v>
                </c:pt>
                <c:pt idx="14">
                  <c:v>1580</c:v>
                </c:pt>
                <c:pt idx="15">
                  <c:v>1640</c:v>
                </c:pt>
                <c:pt idx="16">
                  <c:v>1580</c:v>
                </c:pt>
                <c:pt idx="17">
                  <c:v>1570</c:v>
                </c:pt>
                <c:pt idx="18">
                  <c:v>1260</c:v>
                </c:pt>
                <c:pt idx="19">
                  <c:v>1190</c:v>
                </c:pt>
                <c:pt idx="20">
                  <c:v>1170</c:v>
                </c:pt>
                <c:pt idx="21">
                  <c:v>1140</c:v>
                </c:pt>
                <c:pt idx="22">
                  <c:v>1040</c:v>
                </c:pt>
                <c:pt idx="23">
                  <c:v>1030</c:v>
                </c:pt>
                <c:pt idx="24">
                  <c:v>1500</c:v>
                </c:pt>
                <c:pt idx="25">
                  <c:v>1550</c:v>
                </c:pt>
                <c:pt idx="26">
                  <c:v>1740</c:v>
                </c:pt>
                <c:pt idx="27">
                  <c:v>2020</c:v>
                </c:pt>
                <c:pt idx="28">
                  <c:v>1930</c:v>
                </c:pt>
                <c:pt idx="29">
                  <c:v>1800</c:v>
                </c:pt>
                <c:pt idx="30">
                  <c:v>1430</c:v>
                </c:pt>
                <c:pt idx="31">
                  <c:v>1370</c:v>
                </c:pt>
                <c:pt idx="32">
                  <c:v>1320</c:v>
                </c:pt>
                <c:pt idx="33">
                  <c:v>1240</c:v>
                </c:pt>
                <c:pt idx="34">
                  <c:v>1220</c:v>
                </c:pt>
                <c:pt idx="35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563.29607854546828</c:v>
                </c:pt>
                <c:pt idx="1">
                  <c:v>613.04378540953701</c:v>
                </c:pt>
                <c:pt idx="2">
                  <c:v>557.09513361287873</c:v>
                </c:pt>
                <c:pt idx="3">
                  <c:v>600.64894865737153</c:v>
                </c:pt>
                <c:pt idx="4">
                  <c:v>548.50612981074778</c:v>
                </c:pt>
                <c:pt idx="5">
                  <c:v>697.19553048334501</c:v>
                </c:pt>
                <c:pt idx="6">
                  <c:v>1131.404144052105</c:v>
                </c:pt>
                <c:pt idx="7">
                  <c:v>1185.5972801354267</c:v>
                </c:pt>
                <c:pt idx="8">
                  <c:v>1239.0920241150975</c:v>
                </c:pt>
                <c:pt idx="9">
                  <c:v>1265.743095250026</c:v>
                </c:pt>
                <c:pt idx="10">
                  <c:v>1345.1443887688993</c:v>
                </c:pt>
                <c:pt idx="11">
                  <c:v>1397.5228120525726</c:v>
                </c:pt>
                <c:pt idx="12">
                  <c:v>1356.844568759157</c:v>
                </c:pt>
                <c:pt idx="13">
                  <c:v>1362.3195231323045</c:v>
                </c:pt>
                <c:pt idx="14">
                  <c:v>1392.7378340321968</c:v>
                </c:pt>
                <c:pt idx="15">
                  <c:v>1322.2339272457577</c:v>
                </c:pt>
                <c:pt idx="16">
                  <c:v>1335.3462020045938</c:v>
                </c:pt>
                <c:pt idx="17">
                  <c:v>1387.3219047640707</c:v>
                </c:pt>
                <c:pt idx="18">
                  <c:v>1149.6525979884293</c:v>
                </c:pt>
                <c:pt idx="19">
                  <c:v>1195.6447147128456</c:v>
                </c:pt>
                <c:pt idx="20">
                  <c:v>1249.7738519091934</c:v>
                </c:pt>
                <c:pt idx="21">
                  <c:v>1348.548718303766</c:v>
                </c:pt>
                <c:pt idx="22">
                  <c:v>1385.0991725937179</c:v>
                </c:pt>
                <c:pt idx="23">
                  <c:v>1439.4484964141498</c:v>
                </c:pt>
                <c:pt idx="24">
                  <c:v>1541.8688281354057</c:v>
                </c:pt>
                <c:pt idx="25">
                  <c:v>1552.6435741581411</c:v>
                </c:pt>
                <c:pt idx="26">
                  <c:v>1533.7745767190015</c:v>
                </c:pt>
                <c:pt idx="27">
                  <c:v>1628.6052030709943</c:v>
                </c:pt>
                <c:pt idx="28">
                  <c:v>1631.1507404233328</c:v>
                </c:pt>
                <c:pt idx="29">
                  <c:v>1590.5601455893805</c:v>
                </c:pt>
                <c:pt idx="30">
                  <c:v>1304.7644564471857</c:v>
                </c:pt>
                <c:pt idx="31">
                  <c:v>1376.4985371063854</c:v>
                </c:pt>
                <c:pt idx="32">
                  <c:v>1410.0012688206284</c:v>
                </c:pt>
                <c:pt idx="33">
                  <c:v>1466.8424655233946</c:v>
                </c:pt>
                <c:pt idx="34">
                  <c:v>1624.8278755426306</c:v>
                </c:pt>
                <c:pt idx="35">
                  <c:v>1691.0026025836128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WS159847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548</c:v>
                </c:pt>
                <c:pt idx="1">
                  <c:v>612</c:v>
                </c:pt>
                <c:pt idx="2">
                  <c:v>632</c:v>
                </c:pt>
                <c:pt idx="3">
                  <c:v>745</c:v>
                </c:pt>
                <c:pt idx="4">
                  <c:v>649</c:v>
                </c:pt>
                <c:pt idx="5">
                  <c:v>789</c:v>
                </c:pt>
                <c:pt idx="6">
                  <c:v>1240</c:v>
                </c:pt>
                <c:pt idx="7">
                  <c:v>1180</c:v>
                </c:pt>
                <c:pt idx="8">
                  <c:v>1160</c:v>
                </c:pt>
                <c:pt idx="9">
                  <c:v>1070</c:v>
                </c:pt>
                <c:pt idx="10">
                  <c:v>1010</c:v>
                </c:pt>
                <c:pt idx="11">
                  <c:v>1000</c:v>
                </c:pt>
                <c:pt idx="12">
                  <c:v>1320</c:v>
                </c:pt>
                <c:pt idx="13">
                  <c:v>1360</c:v>
                </c:pt>
                <c:pt idx="14">
                  <c:v>1580</c:v>
                </c:pt>
                <c:pt idx="15">
                  <c:v>1640</c:v>
                </c:pt>
                <c:pt idx="16">
                  <c:v>1580</c:v>
                </c:pt>
                <c:pt idx="17">
                  <c:v>1570</c:v>
                </c:pt>
                <c:pt idx="18">
                  <c:v>1260</c:v>
                </c:pt>
                <c:pt idx="19">
                  <c:v>1190</c:v>
                </c:pt>
                <c:pt idx="20">
                  <c:v>1170</c:v>
                </c:pt>
                <c:pt idx="21">
                  <c:v>1140</c:v>
                </c:pt>
                <c:pt idx="22">
                  <c:v>1040</c:v>
                </c:pt>
                <c:pt idx="23">
                  <c:v>1030</c:v>
                </c:pt>
                <c:pt idx="24">
                  <c:v>1500</c:v>
                </c:pt>
                <c:pt idx="25">
                  <c:v>1550</c:v>
                </c:pt>
                <c:pt idx="26">
                  <c:v>1740</c:v>
                </c:pt>
                <c:pt idx="27">
                  <c:v>2020</c:v>
                </c:pt>
                <c:pt idx="28">
                  <c:v>1930</c:v>
                </c:pt>
                <c:pt idx="29">
                  <c:v>1800</c:v>
                </c:pt>
                <c:pt idx="30">
                  <c:v>1430</c:v>
                </c:pt>
                <c:pt idx="31">
                  <c:v>1370</c:v>
                </c:pt>
                <c:pt idx="32">
                  <c:v>1320</c:v>
                </c:pt>
                <c:pt idx="33">
                  <c:v>1240</c:v>
                </c:pt>
                <c:pt idx="34">
                  <c:v>1220</c:v>
                </c:pt>
                <c:pt idx="35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D-4892-88C6-BD877F4A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977247"/>
        <c:axId val="316979647"/>
      </c:lineChart>
      <c:dateAx>
        <c:axId val="31697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79647"/>
        <c:crosses val="autoZero"/>
        <c:auto val="1"/>
        <c:lblOffset val="100"/>
        <c:baseTimeUnit val="months"/>
      </c:dateAx>
      <c:valAx>
        <c:axId val="3169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35474919801691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7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548</c:v>
                </c:pt>
                <c:pt idx="1">
                  <c:v>612</c:v>
                </c:pt>
                <c:pt idx="2">
                  <c:v>632</c:v>
                </c:pt>
                <c:pt idx="3">
                  <c:v>745</c:v>
                </c:pt>
                <c:pt idx="4">
                  <c:v>649</c:v>
                </c:pt>
                <c:pt idx="5">
                  <c:v>789</c:v>
                </c:pt>
                <c:pt idx="6">
                  <c:v>1240</c:v>
                </c:pt>
                <c:pt idx="7">
                  <c:v>1180</c:v>
                </c:pt>
                <c:pt idx="8">
                  <c:v>1160</c:v>
                </c:pt>
                <c:pt idx="9">
                  <c:v>1070</c:v>
                </c:pt>
                <c:pt idx="10">
                  <c:v>1010</c:v>
                </c:pt>
                <c:pt idx="11">
                  <c:v>1000</c:v>
                </c:pt>
                <c:pt idx="12">
                  <c:v>1320</c:v>
                </c:pt>
                <c:pt idx="13">
                  <c:v>1360</c:v>
                </c:pt>
                <c:pt idx="14">
                  <c:v>1580</c:v>
                </c:pt>
                <c:pt idx="15">
                  <c:v>1640</c:v>
                </c:pt>
                <c:pt idx="16">
                  <c:v>1580</c:v>
                </c:pt>
                <c:pt idx="17">
                  <c:v>1570</c:v>
                </c:pt>
                <c:pt idx="18">
                  <c:v>1260</c:v>
                </c:pt>
                <c:pt idx="19">
                  <c:v>1190</c:v>
                </c:pt>
                <c:pt idx="20">
                  <c:v>1170</c:v>
                </c:pt>
                <c:pt idx="21">
                  <c:v>1140</c:v>
                </c:pt>
                <c:pt idx="22">
                  <c:v>1040</c:v>
                </c:pt>
                <c:pt idx="23">
                  <c:v>1030</c:v>
                </c:pt>
                <c:pt idx="24">
                  <c:v>1500</c:v>
                </c:pt>
                <c:pt idx="25">
                  <c:v>1550</c:v>
                </c:pt>
                <c:pt idx="26">
                  <c:v>1740</c:v>
                </c:pt>
                <c:pt idx="27">
                  <c:v>2020</c:v>
                </c:pt>
                <c:pt idx="28">
                  <c:v>1930</c:v>
                </c:pt>
                <c:pt idx="29">
                  <c:v>1800</c:v>
                </c:pt>
                <c:pt idx="30">
                  <c:v>1430</c:v>
                </c:pt>
                <c:pt idx="31">
                  <c:v>1370</c:v>
                </c:pt>
                <c:pt idx="32">
                  <c:v>1320</c:v>
                </c:pt>
                <c:pt idx="33">
                  <c:v>1240</c:v>
                </c:pt>
                <c:pt idx="34">
                  <c:v>1220</c:v>
                </c:pt>
                <c:pt idx="35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1-4BB9-B524-1CE3DD0D5370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Sheet2!$J$2:$J$37</c:f>
              <c:numCache>
                <c:formatCode>0.00</c:formatCode>
                <c:ptCount val="36"/>
                <c:pt idx="0">
                  <c:v>792.02846423506185</c:v>
                </c:pt>
                <c:pt idx="1">
                  <c:v>838.28228298031331</c:v>
                </c:pt>
                <c:pt idx="2">
                  <c:v>981.63129240330147</c:v>
                </c:pt>
                <c:pt idx="3">
                  <c:v>1104.9610283736481</c:v>
                </c:pt>
                <c:pt idx="4">
                  <c:v>1084.3444178193863</c:v>
                </c:pt>
                <c:pt idx="5">
                  <c:v>1066.0576430900614</c:v>
                </c:pt>
                <c:pt idx="6">
                  <c:v>1060.4646326492016</c:v>
                </c:pt>
                <c:pt idx="7">
                  <c:v>988.4791907300372</c:v>
                </c:pt>
                <c:pt idx="8">
                  <c:v>953.71692901013239</c:v>
                </c:pt>
                <c:pt idx="9">
                  <c:v>882.81927366885782</c:v>
                </c:pt>
                <c:pt idx="10">
                  <c:v>803.33008784951346</c:v>
                </c:pt>
                <c:pt idx="11">
                  <c:v>783.86698989983279</c:v>
                </c:pt>
                <c:pt idx="12">
                  <c:v>1090.6063922658961</c:v>
                </c:pt>
                <c:pt idx="13">
                  <c:v>1144.6717260680077</c:v>
                </c:pt>
                <c:pt idx="14">
                  <c:v>1329.8094980574672</c:v>
                </c:pt>
                <c:pt idx="15">
                  <c:v>1485.6317021692139</c:v>
                </c:pt>
                <c:pt idx="16">
                  <c:v>1447.4869191962177</c:v>
                </c:pt>
                <c:pt idx="17">
                  <c:v>1413.3828300890686</c:v>
                </c:pt>
                <c:pt idx="18">
                  <c:v>1396.8350463521174</c:v>
                </c:pt>
                <c:pt idx="19">
                  <c:v>1293.942239665703</c:v>
                </c:pt>
                <c:pt idx="20">
                  <c:v>1241.0385427976569</c:v>
                </c:pt>
                <c:pt idx="21">
                  <c:v>1142.2683208194023</c:v>
                </c:pt>
                <c:pt idx="22">
                  <c:v>1033.7745833164281</c:v>
                </c:pt>
                <c:pt idx="23">
                  <c:v>1003.4784319121687</c:v>
                </c:pt>
                <c:pt idx="24">
                  <c:v>1389.1843202967304</c:v>
                </c:pt>
                <c:pt idx="25">
                  <c:v>1451.0611691557019</c:v>
                </c:pt>
                <c:pt idx="26">
                  <c:v>1677.9877037116335</c:v>
                </c:pt>
                <c:pt idx="27">
                  <c:v>1866.3023759647806</c:v>
                </c:pt>
                <c:pt idx="28">
                  <c:v>1810.6294205730496</c:v>
                </c:pt>
                <c:pt idx="29">
                  <c:v>1760.7080170880765</c:v>
                </c:pt>
                <c:pt idx="30">
                  <c:v>1733.2054600550337</c:v>
                </c:pt>
                <c:pt idx="31">
                  <c:v>1599.4052886013687</c:v>
                </c:pt>
                <c:pt idx="32">
                  <c:v>1528.3601565851814</c:v>
                </c:pt>
                <c:pt idx="33">
                  <c:v>1401.7173679699467</c:v>
                </c:pt>
                <c:pt idx="34">
                  <c:v>1264.2190787833422</c:v>
                </c:pt>
                <c:pt idx="35">
                  <c:v>1223.0898739245044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1-4BB9-B524-1CE3DD0D5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603039"/>
        <c:axId val="401603519"/>
      </c:lineChart>
      <c:dateAx>
        <c:axId val="4016030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03519"/>
        <c:crosses val="autoZero"/>
        <c:auto val="1"/>
        <c:lblOffset val="100"/>
        <c:baseTimeUnit val="months"/>
      </c:dateAx>
      <c:valAx>
        <c:axId val="40160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0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C039F-2D24-A04B-6047-476246BA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</xdr:row>
      <xdr:rowOff>76200</xdr:rowOff>
    </xdr:from>
    <xdr:to>
      <xdr:col>18</xdr:col>
      <xdr:colOff>53340</xdr:colOff>
      <xdr:row>31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0B20E-D217-B0EE-7C77-7D4E60C8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74</xdr:row>
      <xdr:rowOff>7620</xdr:rowOff>
    </xdr:from>
    <xdr:to>
      <xdr:col>7</xdr:col>
      <xdr:colOff>312420</xdr:colOff>
      <xdr:row>89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472440</xdr:colOff>
      <xdr:row>17</xdr:row>
      <xdr:rowOff>26670</xdr:rowOff>
    </xdr:from>
    <xdr:to>
      <xdr:col>19</xdr:col>
      <xdr:colOff>167640</xdr:colOff>
      <xdr:row>32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47D6D-E4C1-DBFE-410F-83F366715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5</xdr:row>
      <xdr:rowOff>41910</xdr:rowOff>
    </xdr:from>
    <xdr:to>
      <xdr:col>11</xdr:col>
      <xdr:colOff>464820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1F9EA-E8B9-B8D7-DC55-AC5B8EE9E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tabSelected="1" workbookViewId="0">
      <selection activeCell="B13" sqref="B13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548</v>
      </c>
      <c r="C3">
        <v>1320</v>
      </c>
      <c r="D3">
        <v>1500</v>
      </c>
    </row>
    <row r="4" spans="1:4" x14ac:dyDescent="0.3">
      <c r="A4" t="s">
        <v>7</v>
      </c>
      <c r="B4">
        <v>612</v>
      </c>
      <c r="C4">
        <v>1360</v>
      </c>
      <c r="D4">
        <v>1550</v>
      </c>
    </row>
    <row r="5" spans="1:4" x14ac:dyDescent="0.3">
      <c r="A5" t="s">
        <v>8</v>
      </c>
      <c r="B5">
        <v>632</v>
      </c>
      <c r="C5">
        <v>1580</v>
      </c>
      <c r="D5">
        <v>1740</v>
      </c>
    </row>
    <row r="6" spans="1:4" x14ac:dyDescent="0.3">
      <c r="A6" t="s">
        <v>9</v>
      </c>
      <c r="B6">
        <v>745</v>
      </c>
      <c r="C6">
        <v>1640</v>
      </c>
      <c r="D6">
        <v>2020</v>
      </c>
    </row>
    <row r="7" spans="1:4" x14ac:dyDescent="0.3">
      <c r="A7" t="s">
        <v>10</v>
      </c>
      <c r="B7">
        <v>649</v>
      </c>
      <c r="C7">
        <v>1580</v>
      </c>
      <c r="D7">
        <v>1930</v>
      </c>
    </row>
    <row r="8" spans="1:4" x14ac:dyDescent="0.3">
      <c r="A8" t="s">
        <v>11</v>
      </c>
      <c r="B8">
        <v>789</v>
      </c>
      <c r="C8">
        <v>1570</v>
      </c>
      <c r="D8">
        <v>1800</v>
      </c>
    </row>
    <row r="9" spans="1:4" x14ac:dyDescent="0.3">
      <c r="A9" t="s">
        <v>12</v>
      </c>
      <c r="B9">
        <v>1240</v>
      </c>
      <c r="C9">
        <v>1260</v>
      </c>
      <c r="D9">
        <v>1430</v>
      </c>
    </row>
    <row r="10" spans="1:4" x14ac:dyDescent="0.3">
      <c r="A10" t="s">
        <v>13</v>
      </c>
      <c r="B10">
        <v>1180</v>
      </c>
      <c r="C10">
        <v>1390</v>
      </c>
      <c r="D10">
        <v>1570</v>
      </c>
    </row>
    <row r="11" spans="1:4" x14ac:dyDescent="0.3">
      <c r="A11" t="s">
        <v>14</v>
      </c>
      <c r="B11">
        <v>1160</v>
      </c>
      <c r="C11">
        <v>1170</v>
      </c>
      <c r="D11">
        <v>1320</v>
      </c>
    </row>
    <row r="12" spans="1:4" x14ac:dyDescent="0.3">
      <c r="A12" t="s">
        <v>15</v>
      </c>
      <c r="B12">
        <v>1070</v>
      </c>
      <c r="C12">
        <v>1140</v>
      </c>
      <c r="D12">
        <v>1240</v>
      </c>
    </row>
    <row r="13" spans="1:4" x14ac:dyDescent="0.3">
      <c r="A13" t="s">
        <v>16</v>
      </c>
      <c r="B13">
        <v>1010</v>
      </c>
      <c r="C13">
        <v>1040</v>
      </c>
      <c r="D13">
        <v>1220</v>
      </c>
    </row>
    <row r="14" spans="1:4" x14ac:dyDescent="0.3">
      <c r="A14" t="s">
        <v>6</v>
      </c>
      <c r="B14">
        <v>875</v>
      </c>
      <c r="C14">
        <v>1336</v>
      </c>
      <c r="D14">
        <v>1210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B36"/>
  <sheetViews>
    <sheetView workbookViewId="0">
      <selection activeCell="B26" sqref="B26"/>
    </sheetView>
  </sheetViews>
  <sheetFormatPr defaultRowHeight="14.4" x14ac:dyDescent="0.3"/>
  <sheetData>
    <row r="1" spans="1:2" x14ac:dyDescent="0.3">
      <c r="A1" s="1">
        <v>44562</v>
      </c>
      <c r="B1">
        <v>647</v>
      </c>
    </row>
    <row r="2" spans="1:2" x14ac:dyDescent="0.3">
      <c r="A2" s="1">
        <v>44593</v>
      </c>
      <c r="B2">
        <v>785</v>
      </c>
    </row>
    <row r="3" spans="1:2" x14ac:dyDescent="0.3">
      <c r="A3" s="1">
        <v>44621</v>
      </c>
      <c r="B3">
        <v>1065</v>
      </c>
    </row>
    <row r="4" spans="1:2" x14ac:dyDescent="0.3">
      <c r="A4" s="1">
        <v>44652</v>
      </c>
      <c r="B4">
        <v>608</v>
      </c>
    </row>
    <row r="5" spans="1:2" x14ac:dyDescent="0.3">
      <c r="A5" s="1">
        <v>44682</v>
      </c>
      <c r="B5">
        <v>512</v>
      </c>
    </row>
    <row r="6" spans="1:2" x14ac:dyDescent="0.3">
      <c r="A6" s="1">
        <v>44713</v>
      </c>
      <c r="B6">
        <v>702</v>
      </c>
    </row>
    <row r="7" spans="1:2" x14ac:dyDescent="0.3">
      <c r="A7" s="1">
        <v>44743</v>
      </c>
      <c r="B7">
        <v>866</v>
      </c>
    </row>
    <row r="8" spans="1:2" x14ac:dyDescent="0.3">
      <c r="A8" s="1">
        <v>44774</v>
      </c>
      <c r="B8">
        <v>693</v>
      </c>
    </row>
    <row r="9" spans="1:2" x14ac:dyDescent="0.3">
      <c r="A9" s="1">
        <v>44805</v>
      </c>
      <c r="B9">
        <v>556</v>
      </c>
    </row>
    <row r="10" spans="1:2" x14ac:dyDescent="0.3">
      <c r="A10" s="1">
        <v>44835</v>
      </c>
      <c r="B10">
        <v>971</v>
      </c>
    </row>
    <row r="11" spans="1:2" x14ac:dyDescent="0.3">
      <c r="A11" s="1">
        <v>44866</v>
      </c>
      <c r="B11">
        <v>785</v>
      </c>
    </row>
    <row r="12" spans="1:2" x14ac:dyDescent="0.3">
      <c r="A12" s="1">
        <v>44896</v>
      </c>
      <c r="B12">
        <v>456</v>
      </c>
    </row>
    <row r="13" spans="1:2" x14ac:dyDescent="0.3">
      <c r="A13" s="1">
        <v>44927</v>
      </c>
      <c r="B13">
        <v>1228</v>
      </c>
    </row>
    <row r="14" spans="1:2" x14ac:dyDescent="0.3">
      <c r="A14" s="1">
        <v>44958</v>
      </c>
      <c r="B14">
        <v>665</v>
      </c>
    </row>
    <row r="15" spans="1:2" x14ac:dyDescent="0.3">
      <c r="A15" s="1">
        <v>44986</v>
      </c>
      <c r="B15">
        <v>1441</v>
      </c>
    </row>
    <row r="16" spans="1:2" x14ac:dyDescent="0.3">
      <c r="A16" s="1">
        <v>45017</v>
      </c>
      <c r="B16">
        <v>1459</v>
      </c>
    </row>
    <row r="17" spans="1:2" x14ac:dyDescent="0.3">
      <c r="A17" s="1">
        <v>45047</v>
      </c>
      <c r="B17">
        <v>1123</v>
      </c>
    </row>
    <row r="18" spans="1:2" x14ac:dyDescent="0.3">
      <c r="A18" s="1">
        <v>45078</v>
      </c>
      <c r="B18">
        <v>851</v>
      </c>
    </row>
    <row r="19" spans="1:2" x14ac:dyDescent="0.3">
      <c r="A19" s="1">
        <v>45108</v>
      </c>
      <c r="B19">
        <v>1152</v>
      </c>
    </row>
    <row r="20" spans="1:2" x14ac:dyDescent="0.3">
      <c r="A20" s="1">
        <v>45139</v>
      </c>
      <c r="B20">
        <v>1236</v>
      </c>
    </row>
    <row r="21" spans="1:2" x14ac:dyDescent="0.3">
      <c r="A21" s="1">
        <v>45170</v>
      </c>
      <c r="B21">
        <v>761</v>
      </c>
    </row>
    <row r="22" spans="1:2" x14ac:dyDescent="0.3">
      <c r="A22" s="1">
        <v>45200</v>
      </c>
      <c r="B22">
        <v>695</v>
      </c>
    </row>
    <row r="23" spans="1:2" x14ac:dyDescent="0.3">
      <c r="A23" s="1">
        <v>45231</v>
      </c>
      <c r="B23">
        <v>985</v>
      </c>
    </row>
    <row r="24" spans="1:2" x14ac:dyDescent="0.3">
      <c r="A24" s="1">
        <v>45261</v>
      </c>
      <c r="B24">
        <v>745</v>
      </c>
    </row>
    <row r="25" spans="1:2" x14ac:dyDescent="0.3">
      <c r="A25" s="1">
        <v>45292</v>
      </c>
      <c r="B25">
        <v>1478</v>
      </c>
    </row>
    <row r="26" spans="1:2" x14ac:dyDescent="0.3">
      <c r="A26" s="1">
        <v>45323</v>
      </c>
      <c r="B26">
        <v>1002</v>
      </c>
    </row>
    <row r="27" spans="1:2" x14ac:dyDescent="0.3">
      <c r="A27" s="1">
        <v>45352</v>
      </c>
      <c r="B27">
        <v>646</v>
      </c>
    </row>
    <row r="28" spans="1:2" x14ac:dyDescent="0.3">
      <c r="A28" s="1">
        <v>45383</v>
      </c>
      <c r="B28">
        <v>2041</v>
      </c>
    </row>
    <row r="29" spans="1:2" x14ac:dyDescent="0.3">
      <c r="A29" s="1">
        <v>45413</v>
      </c>
      <c r="B29">
        <v>1652</v>
      </c>
    </row>
    <row r="30" spans="1:2" x14ac:dyDescent="0.3">
      <c r="A30" s="1">
        <v>45444</v>
      </c>
      <c r="B30">
        <v>896</v>
      </c>
    </row>
    <row r="31" spans="1:2" x14ac:dyDescent="0.3">
      <c r="A31" s="1">
        <v>45474</v>
      </c>
      <c r="B31">
        <v>1659</v>
      </c>
    </row>
    <row r="32" spans="1:2" x14ac:dyDescent="0.3">
      <c r="A32" s="1">
        <v>45505</v>
      </c>
      <c r="B32">
        <v>1498</v>
      </c>
    </row>
    <row r="33" spans="1:2" x14ac:dyDescent="0.3">
      <c r="A33" s="1">
        <v>45536</v>
      </c>
      <c r="B33">
        <v>973</v>
      </c>
    </row>
    <row r="34" spans="1:2" x14ac:dyDescent="0.3">
      <c r="A34" s="1">
        <v>45566</v>
      </c>
      <c r="B34">
        <v>1269</v>
      </c>
    </row>
    <row r="35" spans="1:2" x14ac:dyDescent="0.3">
      <c r="A35" s="1">
        <v>45597</v>
      </c>
      <c r="B35">
        <v>1145</v>
      </c>
    </row>
    <row r="36" spans="1:2" x14ac:dyDescent="0.3">
      <c r="A36" s="1">
        <v>45627</v>
      </c>
      <c r="B36">
        <v>1365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opLeftCell="A28" zoomScaleNormal="100" workbookViewId="0">
      <selection activeCell="B23" sqref="B23:K59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>
        <v>1320</v>
      </c>
      <c r="D3">
        <v>1500</v>
      </c>
      <c r="F3" s="2" t="s">
        <v>23</v>
      </c>
      <c r="H3" s="3">
        <v>1310</v>
      </c>
      <c r="I3" s="3">
        <v>1454.5833333333335</v>
      </c>
      <c r="J3" s="4"/>
      <c r="K3" s="4">
        <f>100*C3/H3</f>
        <v>100.76335877862596</v>
      </c>
      <c r="L3">
        <f>100*D3/I3</f>
        <v>103.12231452305929</v>
      </c>
      <c r="M3" s="4">
        <f>AVERAGE(J3:L3)</f>
        <v>101.94283665084262</v>
      </c>
      <c r="N3">
        <f t="shared" ref="N3:N14" si="0">M3*($L$15/$M$15)</f>
        <v>97.284540203978437</v>
      </c>
      <c r="O3">
        <v>97.284540203978437</v>
      </c>
      <c r="AC3" s="8"/>
    </row>
    <row r="4" spans="1:29" x14ac:dyDescent="0.3">
      <c r="A4" t="s">
        <v>7</v>
      </c>
      <c r="C4">
        <v>1360</v>
      </c>
      <c r="D4">
        <v>1550</v>
      </c>
      <c r="F4" s="2" t="s">
        <v>7</v>
      </c>
      <c r="H4" s="3">
        <v>1311.25</v>
      </c>
      <c r="I4" s="3">
        <v>1469.1666666666667</v>
      </c>
      <c r="J4" s="4"/>
      <c r="K4" s="4">
        <f t="shared" ref="K4:K14" si="1">100*C4/H4</f>
        <v>103.71782650142994</v>
      </c>
      <c r="L4">
        <f t="shared" ref="L4:L8" si="2">100*D4/I4</f>
        <v>105.50198525241066</v>
      </c>
      <c r="M4" s="4">
        <f t="shared" ref="M4:M14" si="3">AVERAGE(J4:L4)</f>
        <v>104.60990587692029</v>
      </c>
      <c r="N4">
        <f t="shared" si="0"/>
        <v>99.829737217083164</v>
      </c>
      <c r="O4">
        <v>99.829737217083164</v>
      </c>
      <c r="AC4" s="8"/>
    </row>
    <row r="5" spans="1:29" x14ac:dyDescent="0.3">
      <c r="A5" t="s">
        <v>8</v>
      </c>
      <c r="C5">
        <v>1580</v>
      </c>
      <c r="D5">
        <v>1740</v>
      </c>
      <c r="F5" s="2" t="s">
        <v>24</v>
      </c>
      <c r="H5" s="3">
        <v>1312.0833333333335</v>
      </c>
      <c r="I5" s="3">
        <v>1482.9166666666667</v>
      </c>
      <c r="J5" s="4"/>
      <c r="K5" s="4">
        <f t="shared" si="1"/>
        <v>120.41918069228325</v>
      </c>
      <c r="L5">
        <f t="shared" si="2"/>
        <v>117.33633042989604</v>
      </c>
      <c r="M5" s="4">
        <f t="shared" si="3"/>
        <v>118.87775556108964</v>
      </c>
      <c r="N5">
        <f t="shared" si="0"/>
        <v>113.44561491703357</v>
      </c>
      <c r="O5">
        <v>113.44561491703357</v>
      </c>
      <c r="AC5" s="8"/>
    </row>
    <row r="6" spans="1:29" x14ac:dyDescent="0.3">
      <c r="A6" t="s">
        <v>9</v>
      </c>
      <c r="C6">
        <v>1640</v>
      </c>
      <c r="D6">
        <v>2020</v>
      </c>
      <c r="F6" s="2" t="s">
        <v>25</v>
      </c>
      <c r="H6" s="3">
        <v>1315.4166666666665</v>
      </c>
      <c r="I6" s="3">
        <v>1493.3333333333335</v>
      </c>
      <c r="J6" s="4"/>
      <c r="K6" s="4">
        <f t="shared" si="1"/>
        <v>124.67532467532469</v>
      </c>
      <c r="L6">
        <f t="shared" si="2"/>
        <v>135.26785714285714</v>
      </c>
      <c r="M6" s="4">
        <f t="shared" si="3"/>
        <v>129.97159090909091</v>
      </c>
      <c r="N6">
        <f t="shared" si="0"/>
        <v>124.0325154427217</v>
      </c>
      <c r="O6">
        <v>124.0325154427217</v>
      </c>
      <c r="AC6" s="8"/>
    </row>
    <row r="7" spans="1:29" x14ac:dyDescent="0.3">
      <c r="A7" t="s">
        <v>10</v>
      </c>
      <c r="C7">
        <v>1580</v>
      </c>
      <c r="D7">
        <v>1930</v>
      </c>
      <c r="F7" s="2" t="s">
        <v>26</v>
      </c>
      <c r="H7" s="3">
        <v>1319.5833333333333</v>
      </c>
      <c r="I7" s="3">
        <v>1505</v>
      </c>
      <c r="J7" s="4"/>
      <c r="K7" s="4">
        <f t="shared" si="1"/>
        <v>119.73476476160405</v>
      </c>
      <c r="L7">
        <f t="shared" si="2"/>
        <v>128.23920265780731</v>
      </c>
      <c r="M7" s="4">
        <f t="shared" si="3"/>
        <v>123.98698370970568</v>
      </c>
      <c r="N7">
        <f t="shared" si="0"/>
        <v>118.32137595689694</v>
      </c>
      <c r="O7">
        <v>118.32137595689694</v>
      </c>
      <c r="AC7" s="8"/>
    </row>
    <row r="8" spans="1:29" x14ac:dyDescent="0.3">
      <c r="A8" t="s">
        <v>11</v>
      </c>
      <c r="C8">
        <v>1570</v>
      </c>
      <c r="D8">
        <v>1800</v>
      </c>
      <c r="F8" s="2" t="s">
        <v>27</v>
      </c>
      <c r="H8" s="3">
        <v>1322.0833333333333</v>
      </c>
      <c r="I8" s="3">
        <v>1520</v>
      </c>
      <c r="J8" s="4"/>
      <c r="K8" s="4">
        <f t="shared" si="1"/>
        <v>118.75196974472109</v>
      </c>
      <c r="L8">
        <f t="shared" si="2"/>
        <v>118.42105263157895</v>
      </c>
      <c r="M8" s="4">
        <f t="shared" si="3"/>
        <v>118.58651118815001</v>
      </c>
      <c r="N8">
        <f t="shared" si="0"/>
        <v>113.16767900864333</v>
      </c>
      <c r="O8">
        <v>113.16767900864333</v>
      </c>
      <c r="AC8" s="8"/>
    </row>
    <row r="9" spans="1:29" x14ac:dyDescent="0.3">
      <c r="A9" t="s">
        <v>12</v>
      </c>
      <c r="B9">
        <v>1240</v>
      </c>
      <c r="C9">
        <v>1260</v>
      </c>
      <c r="F9" s="2" t="s">
        <v>28</v>
      </c>
      <c r="G9" s="3">
        <v>918.41666666666674</v>
      </c>
      <c r="H9" s="3">
        <v>1330.8333333333333</v>
      </c>
      <c r="J9" s="4">
        <f>100*B9/G9</f>
        <v>135.01497141820161</v>
      </c>
      <c r="K9" s="4">
        <f t="shared" si="1"/>
        <v>94.677520350657488</v>
      </c>
      <c r="M9" s="4">
        <f t="shared" si="3"/>
        <v>114.84624588442955</v>
      </c>
      <c r="N9">
        <f t="shared" si="0"/>
        <v>109.59832580769599</v>
      </c>
      <c r="O9">
        <v>109.59832580769599</v>
      </c>
      <c r="AC9" s="8"/>
    </row>
    <row r="10" spans="1:29" x14ac:dyDescent="0.3">
      <c r="A10" t="s">
        <v>13</v>
      </c>
      <c r="B10">
        <v>1180</v>
      </c>
      <c r="C10">
        <v>1190</v>
      </c>
      <c r="F10" s="2" t="s">
        <v>29</v>
      </c>
      <c r="G10" s="3">
        <v>981.75</v>
      </c>
      <c r="H10" s="3">
        <v>1346.25</v>
      </c>
      <c r="J10" s="4">
        <f t="shared" ref="J10:J14" si="4">100*B10/G10</f>
        <v>120.19353195823784</v>
      </c>
      <c r="K10" s="4">
        <f t="shared" si="1"/>
        <v>88.393686165273905</v>
      </c>
      <c r="M10" s="4">
        <f t="shared" si="3"/>
        <v>104.29360906175587</v>
      </c>
      <c r="N10">
        <f t="shared" si="0"/>
        <v>99.527893642368397</v>
      </c>
      <c r="O10">
        <v>99.527893642368397</v>
      </c>
      <c r="AC10" s="8"/>
    </row>
    <row r="11" spans="1:29" x14ac:dyDescent="0.3">
      <c r="A11" t="s">
        <v>14</v>
      </c>
      <c r="B11">
        <v>1160</v>
      </c>
      <c r="C11">
        <v>1170</v>
      </c>
      <c r="F11" s="2" t="s">
        <v>30</v>
      </c>
      <c r="G11" s="3">
        <v>1052.4166666666667</v>
      </c>
      <c r="H11" s="3">
        <v>1360.8333333333335</v>
      </c>
      <c r="J11" s="4">
        <f t="shared" si="4"/>
        <v>110.22250376118457</v>
      </c>
      <c r="K11" s="4">
        <f t="shared" si="1"/>
        <v>85.976729944886699</v>
      </c>
      <c r="M11" s="4">
        <f t="shared" si="3"/>
        <v>98.099616853035627</v>
      </c>
      <c r="N11">
        <f t="shared" si="0"/>
        <v>93.616937033261792</v>
      </c>
      <c r="O11">
        <v>93.616937033261792</v>
      </c>
      <c r="AC11" s="8"/>
    </row>
    <row r="12" spans="1:29" x14ac:dyDescent="0.3">
      <c r="A12" t="s">
        <v>15</v>
      </c>
      <c r="B12">
        <v>1070</v>
      </c>
      <c r="C12">
        <v>1140</v>
      </c>
      <c r="F12" s="2" t="s">
        <v>31</v>
      </c>
      <c r="G12" s="3">
        <v>1129.2083333333335</v>
      </c>
      <c r="H12" s="3">
        <v>1383.3333333333335</v>
      </c>
      <c r="J12" s="4">
        <f t="shared" si="4"/>
        <v>94.756651046086844</v>
      </c>
      <c r="K12" s="4">
        <f t="shared" si="1"/>
        <v>82.409638554216855</v>
      </c>
      <c r="M12" s="4">
        <f t="shared" si="3"/>
        <v>88.583144800151842</v>
      </c>
      <c r="N12">
        <f t="shared" si="0"/>
        <v>84.535321900265998</v>
      </c>
      <c r="O12">
        <v>84.535321900265998</v>
      </c>
      <c r="AC12" s="8"/>
    </row>
    <row r="13" spans="1:29" x14ac:dyDescent="0.3">
      <c r="A13" t="s">
        <v>16</v>
      </c>
      <c r="B13">
        <v>1010</v>
      </c>
      <c r="C13">
        <v>1040</v>
      </c>
      <c r="F13" s="2" t="s">
        <v>32</v>
      </c>
      <c r="G13" s="3">
        <v>1205.2916666666665</v>
      </c>
      <c r="H13" s="3">
        <v>1413.75</v>
      </c>
      <c r="J13" s="4">
        <f t="shared" si="4"/>
        <v>83.797144536246421</v>
      </c>
      <c r="K13" s="4">
        <f t="shared" si="1"/>
        <v>73.563218390804593</v>
      </c>
      <c r="M13" s="4">
        <f t="shared" si="3"/>
        <v>78.680181463525514</v>
      </c>
      <c r="N13">
        <f t="shared" si="0"/>
        <v>75.084876272975464</v>
      </c>
      <c r="O13">
        <v>75.084876272975464</v>
      </c>
      <c r="AC13" s="8"/>
    </row>
    <row r="14" spans="1:29" x14ac:dyDescent="0.3">
      <c r="A14" t="s">
        <v>6</v>
      </c>
      <c r="B14">
        <v>1000</v>
      </c>
      <c r="C14">
        <v>1030</v>
      </c>
      <c r="F14" s="2" t="s">
        <v>33</v>
      </c>
      <c r="G14" s="3">
        <v>1276.625</v>
      </c>
      <c r="H14" s="3">
        <v>1437.9166666666665</v>
      </c>
      <c r="J14" s="4">
        <f t="shared" si="4"/>
        <v>78.331538235582101</v>
      </c>
      <c r="K14" s="4">
        <f t="shared" si="1"/>
        <v>71.631411185163728</v>
      </c>
      <c r="M14" s="4">
        <f t="shared" si="3"/>
        <v>74.981474710372908</v>
      </c>
      <c r="N14">
        <f t="shared" si="0"/>
        <v>71.555182597075316</v>
      </c>
      <c r="O14">
        <v>71.555182597075316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1257.4598566690704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 t="s">
        <v>23</v>
      </c>
      <c r="D24">
        <v>548</v>
      </c>
      <c r="G24" s="3">
        <v>97.284540203978437</v>
      </c>
      <c r="H24" s="3">
        <f>D24/G24*100</f>
        <v>563.29607854546828</v>
      </c>
      <c r="I24" s="3">
        <f t="shared" ref="I24:I70" si="5">25.576*B24+788.56</f>
        <v>814.13599999999997</v>
      </c>
      <c r="J24" s="3">
        <f>I24*G24/100</f>
        <v>792.02846423506185</v>
      </c>
      <c r="K24">
        <f>ABS((D24-J24)/D24)*100</f>
        <v>44.530741648733915</v>
      </c>
      <c r="M24"/>
      <c r="AC24" s="8"/>
    </row>
    <row r="25" spans="1:29" x14ac:dyDescent="0.3">
      <c r="B25">
        <v>2</v>
      </c>
      <c r="C25" s="1" t="s">
        <v>7</v>
      </c>
      <c r="D25">
        <v>612</v>
      </c>
      <c r="G25" s="3">
        <v>99.829737217083164</v>
      </c>
      <c r="H25" s="3">
        <f t="shared" ref="H25:H35" si="6">D25/G25*100</f>
        <v>613.04378540953701</v>
      </c>
      <c r="I25" s="3">
        <f t="shared" si="5"/>
        <v>839.71199999999999</v>
      </c>
      <c r="J25" s="3">
        <f t="shared" ref="J25:J35" si="7">I25*G25/100</f>
        <v>838.28228298031331</v>
      </c>
      <c r="K25">
        <f t="shared" ref="K25:K59" si="8">ABS((D25-J25)/D25)*100</f>
        <v>36.974229245149232</v>
      </c>
      <c r="M25"/>
      <c r="AC25" s="8"/>
    </row>
    <row r="26" spans="1:29" x14ac:dyDescent="0.3">
      <c r="B26">
        <v>3</v>
      </c>
      <c r="C26" s="1" t="s">
        <v>24</v>
      </c>
      <c r="D26">
        <v>632</v>
      </c>
      <c r="G26" s="3">
        <v>113.44561491703357</v>
      </c>
      <c r="H26" s="3">
        <f t="shared" si="6"/>
        <v>557.09513361287873</v>
      </c>
      <c r="I26" s="3">
        <f t="shared" si="5"/>
        <v>865.28800000000001</v>
      </c>
      <c r="J26" s="3">
        <f t="shared" si="7"/>
        <v>981.63129240330147</v>
      </c>
      <c r="K26">
        <f t="shared" si="8"/>
        <v>55.321407025838845</v>
      </c>
      <c r="M26"/>
      <c r="AC26" s="8"/>
    </row>
    <row r="27" spans="1:29" x14ac:dyDescent="0.3">
      <c r="B27">
        <v>4</v>
      </c>
      <c r="C27" s="1" t="s">
        <v>25</v>
      </c>
      <c r="D27">
        <v>745</v>
      </c>
      <c r="G27" s="3">
        <v>124.0325154427217</v>
      </c>
      <c r="H27" s="3">
        <f t="shared" si="6"/>
        <v>600.64894865737153</v>
      </c>
      <c r="I27" s="3">
        <f t="shared" si="5"/>
        <v>890.86399999999992</v>
      </c>
      <c r="J27" s="3">
        <f t="shared" si="7"/>
        <v>1104.9610283736481</v>
      </c>
      <c r="K27">
        <f t="shared" si="8"/>
        <v>48.316916560221223</v>
      </c>
      <c r="M27"/>
      <c r="AC27" s="8"/>
    </row>
    <row r="28" spans="1:29" x14ac:dyDescent="0.3">
      <c r="B28">
        <v>5</v>
      </c>
      <c r="C28" s="1" t="s">
        <v>26</v>
      </c>
      <c r="D28">
        <v>649</v>
      </c>
      <c r="G28" s="3">
        <v>118.32137595689694</v>
      </c>
      <c r="H28" s="3">
        <f t="shared" si="6"/>
        <v>548.50612981074778</v>
      </c>
      <c r="I28" s="3">
        <f t="shared" si="5"/>
        <v>916.43999999999994</v>
      </c>
      <c r="J28" s="3">
        <f t="shared" si="7"/>
        <v>1084.3444178193863</v>
      </c>
      <c r="K28">
        <f t="shared" si="8"/>
        <v>67.079263146284489</v>
      </c>
      <c r="M28"/>
      <c r="AC28" s="8"/>
    </row>
    <row r="29" spans="1:29" x14ac:dyDescent="0.3">
      <c r="B29">
        <v>6</v>
      </c>
      <c r="C29" s="1" t="s">
        <v>27</v>
      </c>
      <c r="D29">
        <v>789</v>
      </c>
      <c r="E29" s="3">
        <f>AVERAGE(D24:D35)</f>
        <v>886.25</v>
      </c>
      <c r="G29" s="3">
        <v>113.16767900864333</v>
      </c>
      <c r="H29" s="3">
        <f t="shared" si="6"/>
        <v>697.19553048334501</v>
      </c>
      <c r="I29" s="3">
        <f t="shared" si="5"/>
        <v>942.01599999999996</v>
      </c>
      <c r="J29" s="3">
        <f t="shared" si="7"/>
        <v>1066.0576430900614</v>
      </c>
      <c r="K29">
        <f t="shared" si="8"/>
        <v>35.115037147029334</v>
      </c>
      <c r="M29"/>
      <c r="AC29" s="8"/>
    </row>
    <row r="30" spans="1:29" x14ac:dyDescent="0.3">
      <c r="B30">
        <v>7</v>
      </c>
      <c r="C30" s="1" t="s">
        <v>28</v>
      </c>
      <c r="D30">
        <v>1240</v>
      </c>
      <c r="E30" s="3">
        <f t="shared" ref="E30:E53" si="9">AVERAGE(D25:D36)</f>
        <v>950.58333333333337</v>
      </c>
      <c r="F30" s="3">
        <f>AVERAGE(E29:E30)</f>
        <v>918.41666666666674</v>
      </c>
      <c r="G30" s="3">
        <v>109.59832580769599</v>
      </c>
      <c r="H30" s="3">
        <f t="shared" si="6"/>
        <v>1131.404144052105</v>
      </c>
      <c r="I30" s="3">
        <f t="shared" si="5"/>
        <v>967.59199999999998</v>
      </c>
      <c r="J30" s="3">
        <f t="shared" si="7"/>
        <v>1060.4646326492016</v>
      </c>
      <c r="K30">
        <f t="shared" si="8"/>
        <v>14.478658657322455</v>
      </c>
      <c r="M30"/>
      <c r="AC30" s="8"/>
    </row>
    <row r="31" spans="1:29" x14ac:dyDescent="0.3">
      <c r="B31">
        <v>8</v>
      </c>
      <c r="C31" s="1" t="s">
        <v>29</v>
      </c>
      <c r="D31">
        <v>1180</v>
      </c>
      <c r="E31" s="3">
        <f t="shared" si="9"/>
        <v>1012.9166666666666</v>
      </c>
      <c r="F31" s="3">
        <f t="shared" ref="F31:F53" si="10">AVERAGE(E30:E31)</f>
        <v>981.75</v>
      </c>
      <c r="G31" s="3">
        <v>99.527893642368397</v>
      </c>
      <c r="H31" s="3">
        <f t="shared" si="6"/>
        <v>1185.5972801354267</v>
      </c>
      <c r="I31" s="3">
        <f t="shared" si="5"/>
        <v>993.16799999999989</v>
      </c>
      <c r="J31" s="3">
        <f t="shared" si="7"/>
        <v>988.4791907300372</v>
      </c>
      <c r="K31">
        <f t="shared" si="8"/>
        <v>16.230577056776507</v>
      </c>
      <c r="M31"/>
      <c r="AC31" s="8"/>
    </row>
    <row r="32" spans="1:29" x14ac:dyDescent="0.3">
      <c r="B32">
        <v>9</v>
      </c>
      <c r="C32" s="1" t="s">
        <v>30</v>
      </c>
      <c r="D32">
        <v>1160</v>
      </c>
      <c r="E32" s="3">
        <f t="shared" si="9"/>
        <v>1091.9166666666667</v>
      </c>
      <c r="F32" s="3">
        <f t="shared" si="10"/>
        <v>1052.4166666666667</v>
      </c>
      <c r="G32" s="3">
        <v>93.616937033261792</v>
      </c>
      <c r="H32" s="3">
        <f t="shared" si="6"/>
        <v>1239.0920241150975</v>
      </c>
      <c r="I32" s="3">
        <f t="shared" si="5"/>
        <v>1018.7439999999999</v>
      </c>
      <c r="J32" s="3">
        <f t="shared" si="7"/>
        <v>953.71692901013239</v>
      </c>
      <c r="K32">
        <f t="shared" si="8"/>
        <v>17.783023361195482</v>
      </c>
      <c r="M32"/>
      <c r="AC32" s="8"/>
    </row>
    <row r="33" spans="1:29" x14ac:dyDescent="0.3">
      <c r="B33">
        <v>10</v>
      </c>
      <c r="C33" s="1" t="s">
        <v>31</v>
      </c>
      <c r="D33">
        <v>1070</v>
      </c>
      <c r="E33" s="3">
        <f t="shared" si="9"/>
        <v>1166.5</v>
      </c>
      <c r="F33" s="3">
        <f t="shared" si="10"/>
        <v>1129.2083333333335</v>
      </c>
      <c r="G33" s="3">
        <v>84.535321900265998</v>
      </c>
      <c r="H33" s="3">
        <f t="shared" si="6"/>
        <v>1265.743095250026</v>
      </c>
      <c r="I33" s="3">
        <f t="shared" si="5"/>
        <v>1044.32</v>
      </c>
      <c r="J33" s="3">
        <f t="shared" si="7"/>
        <v>882.81927366885782</v>
      </c>
      <c r="K33">
        <f t="shared" si="8"/>
        <v>17.493525825340392</v>
      </c>
      <c r="M33"/>
      <c r="AC33" s="8"/>
    </row>
    <row r="34" spans="1:29" x14ac:dyDescent="0.3">
      <c r="B34">
        <v>11</v>
      </c>
      <c r="C34" s="1" t="s">
        <v>32</v>
      </c>
      <c r="D34">
        <v>1010</v>
      </c>
      <c r="E34" s="3">
        <f t="shared" si="9"/>
        <v>1244.0833333333333</v>
      </c>
      <c r="F34" s="3">
        <f t="shared" si="10"/>
        <v>1205.2916666666665</v>
      </c>
      <c r="G34" s="3">
        <v>75.084876272975464</v>
      </c>
      <c r="H34" s="3">
        <f t="shared" si="6"/>
        <v>1345.1443887688993</v>
      </c>
      <c r="I34" s="3">
        <f t="shared" si="5"/>
        <v>1069.896</v>
      </c>
      <c r="J34" s="3">
        <f t="shared" si="7"/>
        <v>803.33008784951346</v>
      </c>
      <c r="K34">
        <f t="shared" si="8"/>
        <v>20.462367539652131</v>
      </c>
      <c r="M34"/>
      <c r="AC34" s="8"/>
    </row>
    <row r="35" spans="1:29" x14ac:dyDescent="0.3">
      <c r="B35">
        <v>12</v>
      </c>
      <c r="C35" s="1" t="s">
        <v>33</v>
      </c>
      <c r="D35">
        <v>1000</v>
      </c>
      <c r="E35" s="3">
        <f t="shared" si="9"/>
        <v>1309.1666666666667</v>
      </c>
      <c r="F35" s="3">
        <f t="shared" si="10"/>
        <v>1276.625</v>
      </c>
      <c r="G35" s="3">
        <v>71.555182597075316</v>
      </c>
      <c r="H35" s="3">
        <f t="shared" si="6"/>
        <v>1397.5228120525726</v>
      </c>
      <c r="I35" s="3">
        <f t="shared" si="5"/>
        <v>1095.472</v>
      </c>
      <c r="J35" s="3">
        <f t="shared" si="7"/>
        <v>783.86698989983279</v>
      </c>
      <c r="K35">
        <f t="shared" si="8"/>
        <v>21.613301010016723</v>
      </c>
      <c r="M35"/>
      <c r="AC35" s="8"/>
    </row>
    <row r="36" spans="1:29" x14ac:dyDescent="0.3">
      <c r="A36" t="s">
        <v>21</v>
      </c>
      <c r="B36">
        <v>13</v>
      </c>
      <c r="C36" s="1" t="s">
        <v>23</v>
      </c>
      <c r="D36">
        <v>1320</v>
      </c>
      <c r="E36" s="3">
        <f t="shared" si="9"/>
        <v>1310.8333333333333</v>
      </c>
      <c r="F36" s="3">
        <f t="shared" si="10"/>
        <v>1310</v>
      </c>
      <c r="G36" s="3">
        <v>97.284540203978437</v>
      </c>
      <c r="H36" s="3">
        <f t="shared" ref="H36:H59" si="11">D36/G36*100</f>
        <v>1356.844568759157</v>
      </c>
      <c r="I36" s="3">
        <f t="shared" si="5"/>
        <v>1121.048</v>
      </c>
      <c r="J36" s="3">
        <f t="shared" ref="J36:J71" si="12">I36*G36/100</f>
        <v>1090.6063922658961</v>
      </c>
      <c r="K36">
        <f t="shared" si="8"/>
        <v>17.378303616219988</v>
      </c>
      <c r="M36"/>
      <c r="AC36" s="8"/>
    </row>
    <row r="37" spans="1:29" x14ac:dyDescent="0.3">
      <c r="B37">
        <v>14</v>
      </c>
      <c r="C37" s="1" t="s">
        <v>7</v>
      </c>
      <c r="D37">
        <v>1360</v>
      </c>
      <c r="E37" s="3">
        <f t="shared" si="9"/>
        <v>1311.6666666666667</v>
      </c>
      <c r="F37" s="3">
        <f t="shared" si="10"/>
        <v>1311.25</v>
      </c>
      <c r="G37" s="3">
        <v>99.829737217083164</v>
      </c>
      <c r="H37" s="3">
        <f t="shared" si="11"/>
        <v>1362.3195231323045</v>
      </c>
      <c r="I37" s="3">
        <f t="shared" si="5"/>
        <v>1146.624</v>
      </c>
      <c r="J37" s="3">
        <f t="shared" si="12"/>
        <v>1144.6717260680077</v>
      </c>
      <c r="K37">
        <f t="shared" si="8"/>
        <v>15.832961318528843</v>
      </c>
      <c r="M37"/>
      <c r="AC37" s="8"/>
    </row>
    <row r="38" spans="1:29" x14ac:dyDescent="0.3">
      <c r="B38">
        <v>15</v>
      </c>
      <c r="C38" s="1" t="s">
        <v>24</v>
      </c>
      <c r="D38">
        <v>1580</v>
      </c>
      <c r="E38" s="3">
        <f t="shared" si="9"/>
        <v>1312.5</v>
      </c>
      <c r="F38" s="3">
        <f t="shared" si="10"/>
        <v>1312.0833333333335</v>
      </c>
      <c r="G38" s="3">
        <v>113.44561491703357</v>
      </c>
      <c r="H38" s="3">
        <f t="shared" si="11"/>
        <v>1392.7378340321968</v>
      </c>
      <c r="I38" s="3">
        <f t="shared" si="5"/>
        <v>1172.1999999999998</v>
      </c>
      <c r="J38" s="3">
        <f t="shared" si="12"/>
        <v>1329.8094980574672</v>
      </c>
      <c r="K38">
        <f t="shared" si="8"/>
        <v>15.834841895097012</v>
      </c>
      <c r="M38"/>
      <c r="AC38" s="8"/>
    </row>
    <row r="39" spans="1:29" x14ac:dyDescent="0.3">
      <c r="B39">
        <v>16</v>
      </c>
      <c r="C39" s="1" t="s">
        <v>25</v>
      </c>
      <c r="D39">
        <v>1640</v>
      </c>
      <c r="E39" s="3">
        <f t="shared" si="9"/>
        <v>1318.3333333333333</v>
      </c>
      <c r="F39" s="3">
        <f t="shared" si="10"/>
        <v>1315.4166666666665</v>
      </c>
      <c r="G39" s="3">
        <v>124.0325154427217</v>
      </c>
      <c r="H39" s="3">
        <f t="shared" si="11"/>
        <v>1322.2339272457577</v>
      </c>
      <c r="I39" s="3">
        <f t="shared" si="5"/>
        <v>1197.7759999999998</v>
      </c>
      <c r="J39" s="3">
        <f t="shared" si="12"/>
        <v>1485.6317021692139</v>
      </c>
      <c r="K39">
        <f t="shared" si="8"/>
        <v>9.4127010872430557</v>
      </c>
      <c r="M39"/>
      <c r="AC39" s="8"/>
    </row>
    <row r="40" spans="1:29" x14ac:dyDescent="0.3">
      <c r="B40">
        <v>17</v>
      </c>
      <c r="C40" s="1" t="s">
        <v>26</v>
      </c>
      <c r="D40">
        <v>1580</v>
      </c>
      <c r="E40" s="3">
        <f t="shared" si="9"/>
        <v>1320.8333333333333</v>
      </c>
      <c r="F40" s="3">
        <f t="shared" si="10"/>
        <v>1319.5833333333333</v>
      </c>
      <c r="G40" s="3">
        <v>118.32137595689694</v>
      </c>
      <c r="H40" s="3">
        <f t="shared" si="11"/>
        <v>1335.3462020045938</v>
      </c>
      <c r="I40" s="3">
        <f t="shared" si="5"/>
        <v>1223.3519999999999</v>
      </c>
      <c r="J40" s="3">
        <f t="shared" si="12"/>
        <v>1447.4869191962177</v>
      </c>
      <c r="K40">
        <f t="shared" si="8"/>
        <v>8.3869038483406495</v>
      </c>
      <c r="M40"/>
      <c r="AC40" s="8"/>
    </row>
    <row r="41" spans="1:29" x14ac:dyDescent="0.3">
      <c r="B41">
        <v>18</v>
      </c>
      <c r="C41" s="1" t="s">
        <v>27</v>
      </c>
      <c r="D41">
        <v>1570</v>
      </c>
      <c r="E41" s="3">
        <f t="shared" si="9"/>
        <v>1323.3333333333333</v>
      </c>
      <c r="F41" s="3">
        <f t="shared" si="10"/>
        <v>1322.0833333333333</v>
      </c>
      <c r="G41" s="3">
        <v>113.16767900864333</v>
      </c>
      <c r="H41" s="3">
        <f t="shared" si="11"/>
        <v>1387.3219047640707</v>
      </c>
      <c r="I41" s="3">
        <f t="shared" si="5"/>
        <v>1248.9279999999999</v>
      </c>
      <c r="J41" s="3">
        <f t="shared" si="12"/>
        <v>1413.3828300890686</v>
      </c>
      <c r="K41">
        <f t="shared" si="8"/>
        <v>9.975615917893716</v>
      </c>
      <c r="M41"/>
      <c r="AC41" s="8"/>
    </row>
    <row r="42" spans="1:29" x14ac:dyDescent="0.3">
      <c r="B42">
        <v>19</v>
      </c>
      <c r="C42" s="1" t="s">
        <v>28</v>
      </c>
      <c r="D42">
        <v>1260</v>
      </c>
      <c r="E42" s="3">
        <f t="shared" si="9"/>
        <v>1338.3333333333333</v>
      </c>
      <c r="F42" s="3">
        <f t="shared" si="10"/>
        <v>1330.8333333333333</v>
      </c>
      <c r="G42" s="3">
        <v>109.59832580769599</v>
      </c>
      <c r="H42" s="3">
        <f t="shared" si="11"/>
        <v>1149.6525979884293</v>
      </c>
      <c r="I42" s="3">
        <f t="shared" si="5"/>
        <v>1274.5039999999999</v>
      </c>
      <c r="J42" s="3">
        <f t="shared" si="12"/>
        <v>1396.8350463521174</v>
      </c>
      <c r="K42">
        <f t="shared" si="8"/>
        <v>10.859924313660111</v>
      </c>
      <c r="M42"/>
      <c r="AC42" s="8"/>
    </row>
    <row r="43" spans="1:29" x14ac:dyDescent="0.3">
      <c r="B43">
        <v>20</v>
      </c>
      <c r="C43" s="1" t="s">
        <v>29</v>
      </c>
      <c r="D43">
        <v>1190</v>
      </c>
      <c r="E43" s="3">
        <f t="shared" si="9"/>
        <v>1354.1666666666667</v>
      </c>
      <c r="F43" s="3">
        <f t="shared" si="10"/>
        <v>1346.25</v>
      </c>
      <c r="G43" s="3">
        <v>99.527893642368397</v>
      </c>
      <c r="H43" s="3">
        <f t="shared" si="11"/>
        <v>1195.6447147128456</v>
      </c>
      <c r="I43" s="3">
        <f t="shared" si="5"/>
        <v>1300.08</v>
      </c>
      <c r="J43" s="3">
        <f t="shared" si="12"/>
        <v>1293.942239665703</v>
      </c>
      <c r="K43">
        <f t="shared" si="8"/>
        <v>8.7346419887145412</v>
      </c>
      <c r="M43"/>
      <c r="AC43" s="8"/>
    </row>
    <row r="44" spans="1:29" x14ac:dyDescent="0.3">
      <c r="B44">
        <v>21</v>
      </c>
      <c r="C44" s="1" t="s">
        <v>30</v>
      </c>
      <c r="D44">
        <v>1170</v>
      </c>
      <c r="E44" s="3">
        <f t="shared" si="9"/>
        <v>1367.5</v>
      </c>
      <c r="F44" s="3">
        <f t="shared" si="10"/>
        <v>1360.8333333333335</v>
      </c>
      <c r="G44" s="3">
        <v>93.616937033261792</v>
      </c>
      <c r="H44" s="3">
        <f t="shared" si="11"/>
        <v>1249.7738519091934</v>
      </c>
      <c r="I44" s="3">
        <f t="shared" si="5"/>
        <v>1325.6559999999999</v>
      </c>
      <c r="J44" s="3">
        <f t="shared" si="12"/>
        <v>1241.0385427976569</v>
      </c>
      <c r="K44">
        <f t="shared" si="8"/>
        <v>6.0716703245860577</v>
      </c>
      <c r="M44"/>
      <c r="AC44" s="8"/>
    </row>
    <row r="45" spans="1:29" x14ac:dyDescent="0.3">
      <c r="B45">
        <v>22</v>
      </c>
      <c r="C45" s="1" t="s">
        <v>31</v>
      </c>
      <c r="D45">
        <v>1140</v>
      </c>
      <c r="E45" s="3">
        <f t="shared" si="9"/>
        <v>1399.1666666666667</v>
      </c>
      <c r="F45" s="3">
        <f t="shared" si="10"/>
        <v>1383.3333333333335</v>
      </c>
      <c r="G45" s="3">
        <v>84.535321900265998</v>
      </c>
      <c r="H45" s="3">
        <f t="shared" si="11"/>
        <v>1348.548718303766</v>
      </c>
      <c r="I45" s="3">
        <f t="shared" si="5"/>
        <v>1351.232</v>
      </c>
      <c r="J45" s="3">
        <f t="shared" si="12"/>
        <v>1142.2683208194023</v>
      </c>
      <c r="K45">
        <f t="shared" si="8"/>
        <v>0.19897551047388892</v>
      </c>
      <c r="M45"/>
      <c r="AC45" s="8"/>
    </row>
    <row r="46" spans="1:29" x14ac:dyDescent="0.3">
      <c r="B46">
        <v>23</v>
      </c>
      <c r="C46" s="1" t="s">
        <v>32</v>
      </c>
      <c r="D46">
        <v>1040</v>
      </c>
      <c r="E46" s="3">
        <f t="shared" si="9"/>
        <v>1428.3333333333333</v>
      </c>
      <c r="F46" s="3">
        <f t="shared" si="10"/>
        <v>1413.75</v>
      </c>
      <c r="G46" s="3">
        <v>75.084876272975464</v>
      </c>
      <c r="H46" s="3">
        <f t="shared" si="11"/>
        <v>1385.0991725937179</v>
      </c>
      <c r="I46" s="3">
        <f t="shared" si="5"/>
        <v>1376.808</v>
      </c>
      <c r="J46" s="3">
        <f t="shared" si="12"/>
        <v>1033.7745833164281</v>
      </c>
      <c r="K46">
        <f t="shared" si="8"/>
        <v>0.59859775803575899</v>
      </c>
      <c r="M46"/>
      <c r="AC46" s="8"/>
    </row>
    <row r="47" spans="1:29" x14ac:dyDescent="0.3">
      <c r="B47">
        <v>24</v>
      </c>
      <c r="C47" s="1" t="s">
        <v>33</v>
      </c>
      <c r="D47">
        <v>1030</v>
      </c>
      <c r="E47" s="3">
        <f t="shared" si="9"/>
        <v>1447.5</v>
      </c>
      <c r="F47" s="3">
        <f t="shared" si="10"/>
        <v>1437.9166666666665</v>
      </c>
      <c r="G47" s="3">
        <v>71.555182597075316</v>
      </c>
      <c r="H47" s="3">
        <f t="shared" si="11"/>
        <v>1439.4484964141498</v>
      </c>
      <c r="I47" s="3">
        <f t="shared" si="5"/>
        <v>1402.384</v>
      </c>
      <c r="J47" s="3">
        <f t="shared" si="12"/>
        <v>1003.4784319121687</v>
      </c>
      <c r="K47">
        <f t="shared" si="8"/>
        <v>2.5749095230904144</v>
      </c>
      <c r="M47"/>
      <c r="AC47" s="8"/>
    </row>
    <row r="48" spans="1:29" x14ac:dyDescent="0.3">
      <c r="A48" t="s">
        <v>22</v>
      </c>
      <c r="B48">
        <v>25</v>
      </c>
      <c r="C48" s="1" t="s">
        <v>23</v>
      </c>
      <c r="D48">
        <v>1500</v>
      </c>
      <c r="E48" s="3">
        <f t="shared" si="9"/>
        <v>1461.6666666666667</v>
      </c>
      <c r="F48" s="3">
        <f t="shared" si="10"/>
        <v>1454.5833333333335</v>
      </c>
      <c r="G48" s="3">
        <v>97.284540203978437</v>
      </c>
      <c r="H48" s="3">
        <f t="shared" si="11"/>
        <v>1541.8688281354057</v>
      </c>
      <c r="I48" s="3">
        <f t="shared" si="5"/>
        <v>1427.96</v>
      </c>
      <c r="J48" s="3">
        <f t="shared" si="12"/>
        <v>1389.1843202967304</v>
      </c>
      <c r="K48">
        <f t="shared" si="8"/>
        <v>7.3877119802179703</v>
      </c>
      <c r="M48"/>
      <c r="AC48" s="8"/>
    </row>
    <row r="49" spans="1:29" x14ac:dyDescent="0.3">
      <c r="B49">
        <v>26</v>
      </c>
      <c r="C49" s="1" t="s">
        <v>7</v>
      </c>
      <c r="D49">
        <v>1550</v>
      </c>
      <c r="E49" s="3">
        <f t="shared" si="9"/>
        <v>1476.6666666666667</v>
      </c>
      <c r="F49" s="3">
        <f t="shared" si="10"/>
        <v>1469.1666666666667</v>
      </c>
      <c r="G49" s="3">
        <v>99.829737217083164</v>
      </c>
      <c r="H49" s="3">
        <f t="shared" si="11"/>
        <v>1552.6435741581411</v>
      </c>
      <c r="I49" s="3">
        <f t="shared" si="5"/>
        <v>1453.5360000000001</v>
      </c>
      <c r="J49" s="3">
        <f t="shared" si="12"/>
        <v>1451.0611691557019</v>
      </c>
      <c r="K49">
        <f t="shared" si="8"/>
        <v>6.3831503770514884</v>
      </c>
      <c r="M49"/>
      <c r="AC49" s="8"/>
    </row>
    <row r="50" spans="1:29" x14ac:dyDescent="0.3">
      <c r="B50">
        <v>27</v>
      </c>
      <c r="C50" s="1" t="s">
        <v>24</v>
      </c>
      <c r="D50">
        <v>1740</v>
      </c>
      <c r="E50" s="3">
        <f t="shared" si="9"/>
        <v>1489.1666666666667</v>
      </c>
      <c r="F50" s="3">
        <f t="shared" si="10"/>
        <v>1482.9166666666667</v>
      </c>
      <c r="G50" s="3">
        <v>113.44561491703357</v>
      </c>
      <c r="H50" s="3">
        <f t="shared" si="11"/>
        <v>1533.7745767190015</v>
      </c>
      <c r="I50" s="3">
        <f t="shared" si="5"/>
        <v>1479.1120000000001</v>
      </c>
      <c r="J50" s="3">
        <f t="shared" si="12"/>
        <v>1677.9877037116335</v>
      </c>
      <c r="K50">
        <f t="shared" si="8"/>
        <v>3.5639250740440538</v>
      </c>
      <c r="M50"/>
      <c r="AC50" s="8"/>
    </row>
    <row r="51" spans="1:29" x14ac:dyDescent="0.3">
      <c r="B51">
        <v>28</v>
      </c>
      <c r="C51" s="1" t="s">
        <v>25</v>
      </c>
      <c r="D51">
        <v>2020</v>
      </c>
      <c r="E51" s="3">
        <f t="shared" si="9"/>
        <v>1497.5</v>
      </c>
      <c r="F51" s="3">
        <f t="shared" si="10"/>
        <v>1493.3333333333335</v>
      </c>
      <c r="G51" s="3">
        <v>124.0325154427217</v>
      </c>
      <c r="H51" s="3">
        <f t="shared" si="11"/>
        <v>1628.6052030709943</v>
      </c>
      <c r="I51" s="3">
        <f t="shared" si="5"/>
        <v>1504.6880000000001</v>
      </c>
      <c r="J51" s="3">
        <f t="shared" si="12"/>
        <v>1866.3023759647806</v>
      </c>
      <c r="K51">
        <f t="shared" si="8"/>
        <v>7.6087932690702669</v>
      </c>
      <c r="M51"/>
      <c r="AB51" s="6"/>
    </row>
    <row r="52" spans="1:29" x14ac:dyDescent="0.3">
      <c r="B52">
        <v>29</v>
      </c>
      <c r="C52" s="1" t="s">
        <v>26</v>
      </c>
      <c r="D52">
        <v>1930</v>
      </c>
      <c r="E52" s="3">
        <f t="shared" si="9"/>
        <v>1512.5</v>
      </c>
      <c r="F52" s="3">
        <f t="shared" si="10"/>
        <v>1505</v>
      </c>
      <c r="G52" s="3">
        <v>118.32137595689694</v>
      </c>
      <c r="H52" s="3">
        <f t="shared" si="11"/>
        <v>1631.1507404233328</v>
      </c>
      <c r="I52" s="3">
        <f t="shared" si="5"/>
        <v>1530.2640000000001</v>
      </c>
      <c r="J52" s="3">
        <f t="shared" si="12"/>
        <v>1810.6294205730496</v>
      </c>
      <c r="K52">
        <f t="shared" si="8"/>
        <v>6.1850041153860298</v>
      </c>
      <c r="M52"/>
    </row>
    <row r="53" spans="1:29" x14ac:dyDescent="0.3">
      <c r="B53">
        <v>30</v>
      </c>
      <c r="C53" s="1" t="s">
        <v>27</v>
      </c>
      <c r="D53">
        <v>1800</v>
      </c>
      <c r="E53" s="3">
        <f t="shared" si="9"/>
        <v>1527.5</v>
      </c>
      <c r="F53" s="3">
        <f t="shared" si="10"/>
        <v>1520</v>
      </c>
      <c r="G53" s="3">
        <v>113.16767900864333</v>
      </c>
      <c r="H53" s="3">
        <f t="shared" si="11"/>
        <v>1590.5601455893805</v>
      </c>
      <c r="I53" s="3">
        <f t="shared" si="5"/>
        <v>1555.84</v>
      </c>
      <c r="J53" s="3">
        <f t="shared" si="12"/>
        <v>1760.7080170880765</v>
      </c>
      <c r="K53">
        <f t="shared" si="8"/>
        <v>2.1828879395513039</v>
      </c>
      <c r="M53"/>
    </row>
    <row r="54" spans="1:29" x14ac:dyDescent="0.3">
      <c r="B54">
        <v>31</v>
      </c>
      <c r="C54" s="1" t="s">
        <v>28</v>
      </c>
      <c r="D54">
        <v>1430</v>
      </c>
      <c r="F54" s="3"/>
      <c r="G54" s="3">
        <v>109.59832580769599</v>
      </c>
      <c r="H54" s="3">
        <f t="shared" si="11"/>
        <v>1304.7644564471857</v>
      </c>
      <c r="I54" s="3">
        <f t="shared" si="5"/>
        <v>1581.4159999999999</v>
      </c>
      <c r="J54" s="3">
        <f t="shared" si="12"/>
        <v>1733.2054600550337</v>
      </c>
      <c r="K54">
        <f t="shared" si="8"/>
        <v>21.203179024827527</v>
      </c>
      <c r="M54"/>
    </row>
    <row r="55" spans="1:29" x14ac:dyDescent="0.3">
      <c r="B55">
        <v>32</v>
      </c>
      <c r="C55" s="1" t="s">
        <v>29</v>
      </c>
      <c r="D55">
        <v>1370</v>
      </c>
      <c r="G55" s="3">
        <v>99.527893642368397</v>
      </c>
      <c r="H55" s="3">
        <f t="shared" si="11"/>
        <v>1376.4985371063854</v>
      </c>
      <c r="I55" s="3">
        <f t="shared" si="5"/>
        <v>1606.992</v>
      </c>
      <c r="J55" s="3">
        <f t="shared" si="12"/>
        <v>1599.4052886013687</v>
      </c>
      <c r="K55">
        <f t="shared" si="8"/>
        <v>16.744911576742243</v>
      </c>
      <c r="M55"/>
    </row>
    <row r="56" spans="1:29" x14ac:dyDescent="0.3">
      <c r="B56">
        <v>33</v>
      </c>
      <c r="C56" s="1" t="s">
        <v>30</v>
      </c>
      <c r="D56">
        <v>1320</v>
      </c>
      <c r="G56" s="3">
        <v>93.616937033261792</v>
      </c>
      <c r="H56" s="3">
        <f t="shared" si="11"/>
        <v>1410.0012688206284</v>
      </c>
      <c r="I56" s="3">
        <f t="shared" si="5"/>
        <v>1632.568</v>
      </c>
      <c r="J56" s="3">
        <f t="shared" si="12"/>
        <v>1528.3601565851814</v>
      </c>
      <c r="K56">
        <f t="shared" si="8"/>
        <v>15.784860347362223</v>
      </c>
      <c r="M56"/>
    </row>
    <row r="57" spans="1:29" x14ac:dyDescent="0.3">
      <c r="B57">
        <v>34</v>
      </c>
      <c r="C57" s="1" t="s">
        <v>31</v>
      </c>
      <c r="D57">
        <v>1240</v>
      </c>
      <c r="G57" s="3">
        <v>84.535321900265998</v>
      </c>
      <c r="H57" s="3">
        <f t="shared" si="11"/>
        <v>1466.8424655233946</v>
      </c>
      <c r="I57" s="3">
        <f t="shared" si="5"/>
        <v>1658.144</v>
      </c>
      <c r="J57" s="3">
        <f t="shared" si="12"/>
        <v>1401.7173679699467</v>
      </c>
      <c r="K57">
        <f t="shared" si="8"/>
        <v>13.041723223382801</v>
      </c>
      <c r="M57"/>
    </row>
    <row r="58" spans="1:29" x14ac:dyDescent="0.3">
      <c r="B58">
        <v>35</v>
      </c>
      <c r="C58" s="1" t="s">
        <v>32</v>
      </c>
      <c r="D58">
        <v>1220</v>
      </c>
      <c r="G58" s="3">
        <v>75.084876272975464</v>
      </c>
      <c r="H58" s="3">
        <f t="shared" si="11"/>
        <v>1624.8278755426306</v>
      </c>
      <c r="I58" s="3">
        <f t="shared" si="5"/>
        <v>1683.7199999999998</v>
      </c>
      <c r="J58" s="3">
        <f t="shared" si="12"/>
        <v>1264.2190787833422</v>
      </c>
      <c r="K58">
        <f t="shared" si="8"/>
        <v>3.6245146543723101</v>
      </c>
      <c r="M58"/>
    </row>
    <row r="59" spans="1:29" x14ac:dyDescent="0.3">
      <c r="B59">
        <v>36</v>
      </c>
      <c r="C59" s="1" t="s">
        <v>33</v>
      </c>
      <c r="D59">
        <v>1210</v>
      </c>
      <c r="G59" s="3">
        <v>71.555182597075316</v>
      </c>
      <c r="H59" s="3">
        <f t="shared" si="11"/>
        <v>1691.0026025836128</v>
      </c>
      <c r="I59" s="3">
        <f t="shared" si="5"/>
        <v>1709.2959999999998</v>
      </c>
      <c r="J59" s="3">
        <f t="shared" si="12"/>
        <v>1223.0898739245044</v>
      </c>
      <c r="K59">
        <f t="shared" si="8"/>
        <v>1.0818077623557392</v>
      </c>
      <c r="M59"/>
    </row>
    <row r="60" spans="1:29" x14ac:dyDescent="0.3">
      <c r="A60" t="s">
        <v>39</v>
      </c>
      <c r="B60">
        <v>37</v>
      </c>
      <c r="C60" s="1" t="s">
        <v>23</v>
      </c>
      <c r="G60" s="3">
        <v>97.284540203978437</v>
      </c>
      <c r="I60" s="3">
        <f t="shared" si="5"/>
        <v>1734.8719999999998</v>
      </c>
      <c r="J60" s="3">
        <f t="shared" si="12"/>
        <v>1687.7622483275647</v>
      </c>
    </row>
    <row r="61" spans="1:29" x14ac:dyDescent="0.3">
      <c r="B61">
        <v>38</v>
      </c>
      <c r="C61" s="1" t="s">
        <v>7</v>
      </c>
      <c r="G61" s="3">
        <v>99.829737217083164</v>
      </c>
      <c r="I61" s="3">
        <f t="shared" si="5"/>
        <v>1760.4479999999999</v>
      </c>
      <c r="J61" s="3">
        <f t="shared" si="12"/>
        <v>1757.4506122433961</v>
      </c>
    </row>
    <row r="62" spans="1:29" x14ac:dyDescent="0.3">
      <c r="B62">
        <v>39</v>
      </c>
      <c r="C62" s="1" t="s">
        <v>24</v>
      </c>
      <c r="G62" s="3">
        <v>113.44561491703357</v>
      </c>
      <c r="I62" s="3">
        <f t="shared" si="5"/>
        <v>1786.0239999999999</v>
      </c>
      <c r="J62" s="3">
        <f t="shared" si="12"/>
        <v>2026.1659093657995</v>
      </c>
    </row>
    <row r="63" spans="1:29" x14ac:dyDescent="0.3">
      <c r="B63">
        <v>40</v>
      </c>
      <c r="C63" s="1" t="s">
        <v>25</v>
      </c>
      <c r="G63" s="3">
        <v>124.0325154427217</v>
      </c>
      <c r="I63" s="3">
        <f t="shared" si="5"/>
        <v>1811.6</v>
      </c>
      <c r="J63" s="3">
        <f t="shared" si="12"/>
        <v>2246.9730497603464</v>
      </c>
    </row>
    <row r="64" spans="1:29" x14ac:dyDescent="0.3">
      <c r="B64">
        <v>41</v>
      </c>
      <c r="C64" s="1" t="s">
        <v>26</v>
      </c>
      <c r="G64" s="3">
        <v>118.32137595689694</v>
      </c>
      <c r="I64" s="3">
        <f t="shared" si="5"/>
        <v>1837.1759999999999</v>
      </c>
      <c r="J64" s="3">
        <f t="shared" si="12"/>
        <v>2173.7719219498808</v>
      </c>
    </row>
    <row r="65" spans="2:11" x14ac:dyDescent="0.3">
      <c r="B65">
        <v>42</v>
      </c>
      <c r="C65" s="1" t="s">
        <v>27</v>
      </c>
      <c r="G65" s="3">
        <v>113.16767900864333</v>
      </c>
      <c r="I65" s="3">
        <f t="shared" si="5"/>
        <v>1862.752</v>
      </c>
      <c r="J65" s="3">
        <f t="shared" si="12"/>
        <v>2108.033204087084</v>
      </c>
    </row>
    <row r="66" spans="2:11" x14ac:dyDescent="0.3">
      <c r="B66">
        <v>43</v>
      </c>
      <c r="C66" s="1" t="s">
        <v>28</v>
      </c>
      <c r="G66" s="3">
        <v>109.59832580769599</v>
      </c>
      <c r="I66" s="3">
        <f t="shared" si="5"/>
        <v>1888.328</v>
      </c>
      <c r="J66" s="3">
        <f t="shared" si="12"/>
        <v>2069.5758737579495</v>
      </c>
    </row>
    <row r="67" spans="2:11" x14ac:dyDescent="0.3">
      <c r="B67">
        <v>44</v>
      </c>
      <c r="C67" s="1" t="s">
        <v>29</v>
      </c>
      <c r="G67" s="3">
        <v>99.527893642368397</v>
      </c>
      <c r="I67" s="3">
        <f t="shared" si="5"/>
        <v>1913.904</v>
      </c>
      <c r="J67" s="3">
        <f t="shared" si="12"/>
        <v>1904.8683375370344</v>
      </c>
    </row>
    <row r="68" spans="2:11" x14ac:dyDescent="0.3">
      <c r="B68">
        <v>45</v>
      </c>
      <c r="C68" s="1" t="s">
        <v>30</v>
      </c>
      <c r="G68" s="3">
        <v>93.616937033261792</v>
      </c>
      <c r="I68" s="3">
        <f t="shared" si="5"/>
        <v>1939.48</v>
      </c>
      <c r="J68" s="3">
        <f t="shared" si="12"/>
        <v>1815.6817703727058</v>
      </c>
    </row>
    <row r="69" spans="2:11" x14ac:dyDescent="0.3">
      <c r="B69">
        <v>46</v>
      </c>
      <c r="C69" s="1" t="s">
        <v>31</v>
      </c>
      <c r="G69" s="3">
        <v>84.535321900265998</v>
      </c>
      <c r="I69" s="3">
        <f t="shared" si="5"/>
        <v>1965.056</v>
      </c>
      <c r="J69" s="3">
        <f t="shared" si="12"/>
        <v>1661.1664151204909</v>
      </c>
    </row>
    <row r="70" spans="2:11" x14ac:dyDescent="0.3">
      <c r="B70">
        <v>47</v>
      </c>
      <c r="C70" s="1" t="s">
        <v>32</v>
      </c>
      <c r="G70" s="3">
        <v>75.084876272975464</v>
      </c>
      <c r="I70" s="3">
        <f t="shared" si="5"/>
        <v>1990.6320000000001</v>
      </c>
      <c r="J70" s="3">
        <f t="shared" si="12"/>
        <v>1494.6635742502569</v>
      </c>
    </row>
    <row r="71" spans="2:11" x14ac:dyDescent="0.3">
      <c r="B71">
        <v>48</v>
      </c>
      <c r="C71" s="1" t="s">
        <v>33</v>
      </c>
      <c r="G71" s="3">
        <v>71.555182597075316</v>
      </c>
      <c r="I71" s="3">
        <f>25.576*B71+788.56</f>
        <v>2016.2080000000001</v>
      </c>
      <c r="J71" s="3">
        <f t="shared" si="12"/>
        <v>1442.7013159368403</v>
      </c>
    </row>
    <row r="72" spans="2:11" x14ac:dyDescent="0.3">
      <c r="J72" s="2" t="s">
        <v>48</v>
      </c>
      <c r="K72">
        <f>AVERAGE(K24:K59)</f>
        <v>16.834765685272455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FF31-2129-4B71-BEB1-6C10E8B62735}">
  <dimension ref="A1:K37"/>
  <sheetViews>
    <sheetView zoomScaleNormal="100" workbookViewId="0">
      <selection activeCell="C2" sqref="C2:C37"/>
    </sheetView>
  </sheetViews>
  <sheetFormatPr defaultRowHeight="14.4" x14ac:dyDescent="0.3"/>
  <cols>
    <col min="1" max="1" width="10.6640625" bestFit="1" customWidth="1"/>
    <col min="2" max="2" width="10.77734375" bestFit="1" customWidth="1"/>
    <col min="3" max="3" width="11.88671875" bestFit="1" customWidth="1"/>
    <col min="4" max="5" width="12" bestFit="1" customWidth="1"/>
    <col min="6" max="6" width="12" customWidth="1"/>
    <col min="7" max="7" width="12.109375" bestFit="1" customWidth="1"/>
    <col min="8" max="8" width="12.6640625" bestFit="1" customWidth="1"/>
    <col min="9" max="9" width="11.5546875" bestFit="1" customWidth="1"/>
    <col min="10" max="11" width="12.109375" bestFit="1" customWidth="1"/>
  </cols>
  <sheetData>
    <row r="1" spans="1:11" x14ac:dyDescent="0.3">
      <c r="A1" t="s">
        <v>45</v>
      </c>
      <c r="B1" t="s">
        <v>18</v>
      </c>
      <c r="C1" t="s">
        <v>49</v>
      </c>
      <c r="D1" t="s">
        <v>50</v>
      </c>
      <c r="E1" t="s">
        <v>51</v>
      </c>
      <c r="F1" t="s">
        <v>54</v>
      </c>
      <c r="G1" t="s">
        <v>52</v>
      </c>
      <c r="H1" t="s">
        <v>44</v>
      </c>
      <c r="I1" t="s">
        <v>36</v>
      </c>
      <c r="J1" t="s">
        <v>46</v>
      </c>
      <c r="K1" t="s">
        <v>53</v>
      </c>
    </row>
    <row r="2" spans="1:11" x14ac:dyDescent="0.3">
      <c r="A2">
        <v>1</v>
      </c>
      <c r="B2" s="1">
        <v>44652</v>
      </c>
      <c r="C2">
        <v>548</v>
      </c>
      <c r="G2" s="3">
        <v>97.284540203978437</v>
      </c>
      <c r="H2" s="3">
        <v>563.29607854546828</v>
      </c>
      <c r="I2" s="3">
        <v>814.13599999999997</v>
      </c>
      <c r="J2" s="3">
        <v>792.02846423506185</v>
      </c>
      <c r="K2" s="3">
        <v>44.530741648733915</v>
      </c>
    </row>
    <row r="3" spans="1:11" x14ac:dyDescent="0.3">
      <c r="A3">
        <v>2</v>
      </c>
      <c r="B3" s="1">
        <v>44682</v>
      </c>
      <c r="C3">
        <v>612</v>
      </c>
      <c r="G3" s="3">
        <v>99.829737217083164</v>
      </c>
      <c r="H3" s="3">
        <v>613.04378540953701</v>
      </c>
      <c r="I3" s="3">
        <v>839.71199999999999</v>
      </c>
      <c r="J3" s="3">
        <v>838.28228298031331</v>
      </c>
      <c r="K3" s="3">
        <v>36.974229245149232</v>
      </c>
    </row>
    <row r="4" spans="1:11" x14ac:dyDescent="0.3">
      <c r="A4">
        <v>3</v>
      </c>
      <c r="B4" s="1">
        <v>44713</v>
      </c>
      <c r="C4">
        <v>632</v>
      </c>
      <c r="G4" s="3">
        <v>113.44561491703357</v>
      </c>
      <c r="H4" s="3">
        <v>557.09513361287873</v>
      </c>
      <c r="I4" s="3">
        <v>865.28800000000001</v>
      </c>
      <c r="J4" s="3">
        <v>981.63129240330147</v>
      </c>
      <c r="K4" s="3">
        <v>55.321407025838845</v>
      </c>
    </row>
    <row r="5" spans="1:11" x14ac:dyDescent="0.3">
      <c r="A5">
        <v>4</v>
      </c>
      <c r="B5" s="1">
        <v>44743</v>
      </c>
      <c r="C5">
        <v>745</v>
      </c>
      <c r="G5" s="3">
        <v>124.0325154427217</v>
      </c>
      <c r="H5" s="3">
        <v>600.64894865737153</v>
      </c>
      <c r="I5" s="3">
        <v>890.86399999999992</v>
      </c>
      <c r="J5" s="3">
        <v>1104.9610283736481</v>
      </c>
      <c r="K5" s="3">
        <v>48.316916560221223</v>
      </c>
    </row>
    <row r="6" spans="1:11" x14ac:dyDescent="0.3">
      <c r="A6">
        <v>5</v>
      </c>
      <c r="B6" s="1">
        <v>44774</v>
      </c>
      <c r="C6">
        <v>649</v>
      </c>
      <c r="G6" s="3">
        <v>118.32137595689694</v>
      </c>
      <c r="H6" s="3">
        <v>548.50612981074778</v>
      </c>
      <c r="I6" s="3">
        <v>916.43999999999994</v>
      </c>
      <c r="J6" s="3">
        <v>1084.3444178193863</v>
      </c>
      <c r="K6" s="3">
        <v>67.079263146284489</v>
      </c>
    </row>
    <row r="7" spans="1:11" x14ac:dyDescent="0.3">
      <c r="A7">
        <v>6</v>
      </c>
      <c r="B7" s="1">
        <v>44805</v>
      </c>
      <c r="C7">
        <v>789</v>
      </c>
      <c r="D7" s="3">
        <v>886.25</v>
      </c>
      <c r="E7" s="3"/>
      <c r="F7" s="3"/>
      <c r="G7" s="3">
        <v>113.16767900864333</v>
      </c>
      <c r="H7" s="3">
        <v>697.19553048334501</v>
      </c>
      <c r="I7" s="3">
        <v>942.01599999999996</v>
      </c>
      <c r="J7" s="3">
        <v>1066.0576430900614</v>
      </c>
      <c r="K7" s="3">
        <v>35.115037147029334</v>
      </c>
    </row>
    <row r="8" spans="1:11" x14ac:dyDescent="0.3">
      <c r="A8">
        <v>7</v>
      </c>
      <c r="B8" s="1">
        <v>44835</v>
      </c>
      <c r="C8">
        <v>1240</v>
      </c>
      <c r="D8" s="3">
        <v>950.58333333333337</v>
      </c>
      <c r="E8" s="3">
        <v>918.41666666666674</v>
      </c>
      <c r="F8" s="3">
        <f>((C8/E8)*100)/100</f>
        <v>1.350149714182016</v>
      </c>
      <c r="G8" s="3">
        <v>109.59832580769599</v>
      </c>
      <c r="H8" s="3">
        <v>1131.404144052105</v>
      </c>
      <c r="I8" s="3">
        <v>967.59199999999998</v>
      </c>
      <c r="J8" s="3">
        <v>1060.4646326492016</v>
      </c>
      <c r="K8" s="3">
        <v>14.478658657322455</v>
      </c>
    </row>
    <row r="9" spans="1:11" x14ac:dyDescent="0.3">
      <c r="A9">
        <v>8</v>
      </c>
      <c r="B9" s="1">
        <v>44866</v>
      </c>
      <c r="C9">
        <v>1180</v>
      </c>
      <c r="D9" s="3">
        <v>1012.9166666666666</v>
      </c>
      <c r="E9" s="3">
        <v>981.75</v>
      </c>
      <c r="F9" s="3">
        <f t="shared" ref="F9:F31" si="0">((C9/E9)*100)/100</f>
        <v>1.2019353195823783</v>
      </c>
      <c r="G9" s="3">
        <v>99.527893642368397</v>
      </c>
      <c r="H9" s="3">
        <v>1185.5972801354267</v>
      </c>
      <c r="I9" s="3">
        <v>993.16799999999989</v>
      </c>
      <c r="J9" s="3">
        <v>988.4791907300372</v>
      </c>
      <c r="K9" s="3">
        <v>16.230577056776507</v>
      </c>
    </row>
    <row r="10" spans="1:11" x14ac:dyDescent="0.3">
      <c r="A10">
        <v>9</v>
      </c>
      <c r="B10" s="1">
        <v>44896</v>
      </c>
      <c r="C10">
        <v>1160</v>
      </c>
      <c r="D10" s="3">
        <v>1091.9166666666667</v>
      </c>
      <c r="E10" s="3">
        <v>1052.4166666666667</v>
      </c>
      <c r="F10" s="3">
        <f t="shared" si="0"/>
        <v>1.1022250376118456</v>
      </c>
      <c r="G10" s="3">
        <v>93.616937033261792</v>
      </c>
      <c r="H10" s="3">
        <v>1239.0920241150975</v>
      </c>
      <c r="I10" s="3">
        <v>1018.7439999999999</v>
      </c>
      <c r="J10" s="3">
        <v>953.71692901013239</v>
      </c>
      <c r="K10" s="3">
        <v>17.783023361195482</v>
      </c>
    </row>
    <row r="11" spans="1:11" x14ac:dyDescent="0.3">
      <c r="A11">
        <v>10</v>
      </c>
      <c r="B11" s="1">
        <v>44927</v>
      </c>
      <c r="C11">
        <v>1070</v>
      </c>
      <c r="D11" s="3">
        <v>1166.5</v>
      </c>
      <c r="E11" s="3">
        <v>1129.2083333333335</v>
      </c>
      <c r="F11" s="3">
        <f t="shared" si="0"/>
        <v>0.94756651046086848</v>
      </c>
      <c r="G11" s="3">
        <v>84.535321900265998</v>
      </c>
      <c r="H11" s="3">
        <v>1265.743095250026</v>
      </c>
      <c r="I11" s="3">
        <v>1044.32</v>
      </c>
      <c r="J11" s="3">
        <v>882.81927366885782</v>
      </c>
      <c r="K11" s="3">
        <v>17.493525825340392</v>
      </c>
    </row>
    <row r="12" spans="1:11" x14ac:dyDescent="0.3">
      <c r="A12">
        <v>11</v>
      </c>
      <c r="B12" s="1">
        <v>44958</v>
      </c>
      <c r="C12">
        <v>1010</v>
      </c>
      <c r="D12" s="3">
        <v>1244.0833333333333</v>
      </c>
      <c r="E12" s="3">
        <v>1205.2916666666665</v>
      </c>
      <c r="F12" s="3">
        <f t="shared" si="0"/>
        <v>0.83797144536246426</v>
      </c>
      <c r="G12" s="3">
        <v>75.084876272975464</v>
      </c>
      <c r="H12" s="3">
        <v>1345.1443887688993</v>
      </c>
      <c r="I12" s="3">
        <v>1069.896</v>
      </c>
      <c r="J12" s="3">
        <v>803.33008784951346</v>
      </c>
      <c r="K12" s="3">
        <v>20.462367539652131</v>
      </c>
    </row>
    <row r="13" spans="1:11" x14ac:dyDescent="0.3">
      <c r="A13">
        <v>12</v>
      </c>
      <c r="B13" s="1">
        <v>44986</v>
      </c>
      <c r="C13">
        <v>1000</v>
      </c>
      <c r="D13" s="3">
        <v>1309.1666666666667</v>
      </c>
      <c r="E13" s="3">
        <v>1276.625</v>
      </c>
      <c r="F13" s="3">
        <f t="shared" si="0"/>
        <v>0.78331538235582099</v>
      </c>
      <c r="G13" s="3">
        <v>71.555182597075316</v>
      </c>
      <c r="H13" s="3">
        <v>1397.5228120525726</v>
      </c>
      <c r="I13" s="3">
        <v>1095.472</v>
      </c>
      <c r="J13" s="3">
        <v>783.86698989983279</v>
      </c>
      <c r="K13" s="3">
        <v>21.613301010016723</v>
      </c>
    </row>
    <row r="14" spans="1:11" x14ac:dyDescent="0.3">
      <c r="A14">
        <v>13</v>
      </c>
      <c r="B14" s="1">
        <v>45017</v>
      </c>
      <c r="C14">
        <v>1320</v>
      </c>
      <c r="D14" s="3">
        <v>1310.8333333333333</v>
      </c>
      <c r="E14" s="3">
        <v>1310</v>
      </c>
      <c r="F14" s="3">
        <f t="shared" si="0"/>
        <v>1.0076335877862594</v>
      </c>
      <c r="G14" s="3">
        <v>97.284540203978437</v>
      </c>
      <c r="H14" s="3">
        <v>1356.844568759157</v>
      </c>
      <c r="I14" s="3">
        <v>1121.048</v>
      </c>
      <c r="J14" s="3">
        <v>1090.6063922658961</v>
      </c>
      <c r="K14" s="3">
        <v>17.378303616219988</v>
      </c>
    </row>
    <row r="15" spans="1:11" x14ac:dyDescent="0.3">
      <c r="A15">
        <v>14</v>
      </c>
      <c r="B15" s="1">
        <v>45047</v>
      </c>
      <c r="C15">
        <v>1360</v>
      </c>
      <c r="D15" s="3">
        <v>1311.6666666666667</v>
      </c>
      <c r="E15" s="3">
        <v>1311.25</v>
      </c>
      <c r="F15" s="3">
        <f t="shared" si="0"/>
        <v>1.0371782650142993</v>
      </c>
      <c r="G15" s="3">
        <v>99.829737217083164</v>
      </c>
      <c r="H15" s="3">
        <v>1362.3195231323045</v>
      </c>
      <c r="I15" s="3">
        <v>1146.624</v>
      </c>
      <c r="J15" s="3">
        <v>1144.6717260680077</v>
      </c>
      <c r="K15" s="3">
        <v>15.832961318528843</v>
      </c>
    </row>
    <row r="16" spans="1:11" x14ac:dyDescent="0.3">
      <c r="A16">
        <v>15</v>
      </c>
      <c r="B16" s="1">
        <v>45078</v>
      </c>
      <c r="C16">
        <v>1580</v>
      </c>
      <c r="D16" s="3">
        <v>1312.5</v>
      </c>
      <c r="E16" s="3">
        <v>1312.0833333333335</v>
      </c>
      <c r="F16" s="3">
        <f t="shared" si="0"/>
        <v>1.2041918069228326</v>
      </c>
      <c r="G16" s="3">
        <v>113.44561491703357</v>
      </c>
      <c r="H16" s="3">
        <v>1392.7378340321968</v>
      </c>
      <c r="I16" s="3">
        <v>1172.1999999999998</v>
      </c>
      <c r="J16" s="3">
        <v>1329.8094980574672</v>
      </c>
      <c r="K16" s="3">
        <v>15.834841895097012</v>
      </c>
    </row>
    <row r="17" spans="1:11" x14ac:dyDescent="0.3">
      <c r="A17">
        <v>16</v>
      </c>
      <c r="B17" s="1">
        <v>45108</v>
      </c>
      <c r="C17">
        <v>1640</v>
      </c>
      <c r="D17" s="3">
        <v>1318.3333333333333</v>
      </c>
      <c r="E17" s="3">
        <v>1315.4166666666665</v>
      </c>
      <c r="F17" s="3">
        <f t="shared" si="0"/>
        <v>1.2467532467532469</v>
      </c>
      <c r="G17" s="3">
        <v>124.0325154427217</v>
      </c>
      <c r="H17" s="3">
        <v>1322.2339272457577</v>
      </c>
      <c r="I17" s="3">
        <v>1197.7759999999998</v>
      </c>
      <c r="J17" s="3">
        <v>1485.6317021692139</v>
      </c>
      <c r="K17" s="3">
        <v>9.4127010872430557</v>
      </c>
    </row>
    <row r="18" spans="1:11" x14ac:dyDescent="0.3">
      <c r="A18">
        <v>17</v>
      </c>
      <c r="B18" s="1">
        <v>45139</v>
      </c>
      <c r="C18">
        <v>1580</v>
      </c>
      <c r="D18" s="3">
        <v>1320.8333333333333</v>
      </c>
      <c r="E18" s="3">
        <v>1319.5833333333333</v>
      </c>
      <c r="F18" s="3">
        <f t="shared" si="0"/>
        <v>1.1973476476160405</v>
      </c>
      <c r="G18" s="3">
        <v>118.32137595689694</v>
      </c>
      <c r="H18" s="3">
        <v>1335.3462020045938</v>
      </c>
      <c r="I18" s="3">
        <v>1223.3519999999999</v>
      </c>
      <c r="J18" s="3">
        <v>1447.4869191962177</v>
      </c>
      <c r="K18" s="3">
        <v>8.3869038483406495</v>
      </c>
    </row>
    <row r="19" spans="1:11" x14ac:dyDescent="0.3">
      <c r="A19">
        <v>18</v>
      </c>
      <c r="B19" s="1">
        <v>45170</v>
      </c>
      <c r="C19">
        <v>1570</v>
      </c>
      <c r="D19" s="3">
        <v>1323.3333333333333</v>
      </c>
      <c r="E19" s="3">
        <v>1322.0833333333333</v>
      </c>
      <c r="F19" s="3">
        <f t="shared" si="0"/>
        <v>1.1875196974472109</v>
      </c>
      <c r="G19" s="3">
        <v>113.16767900864333</v>
      </c>
      <c r="H19" s="3">
        <v>1387.3219047640707</v>
      </c>
      <c r="I19" s="3">
        <v>1248.9279999999999</v>
      </c>
      <c r="J19" s="3">
        <v>1413.3828300890686</v>
      </c>
      <c r="K19" s="3">
        <v>9.975615917893716</v>
      </c>
    </row>
    <row r="20" spans="1:11" x14ac:dyDescent="0.3">
      <c r="A20">
        <v>19</v>
      </c>
      <c r="B20" s="1">
        <v>45200</v>
      </c>
      <c r="C20">
        <v>1260</v>
      </c>
      <c r="D20" s="3">
        <v>1338.3333333333333</v>
      </c>
      <c r="E20" s="3">
        <v>1330.8333333333333</v>
      </c>
      <c r="F20" s="3">
        <f t="shared" si="0"/>
        <v>0.94677520350657485</v>
      </c>
      <c r="G20" s="3">
        <v>109.59832580769599</v>
      </c>
      <c r="H20" s="3">
        <v>1149.6525979884293</v>
      </c>
      <c r="I20" s="3">
        <v>1274.5039999999999</v>
      </c>
      <c r="J20" s="3">
        <v>1396.8350463521174</v>
      </c>
      <c r="K20" s="3">
        <v>10.859924313660111</v>
      </c>
    </row>
    <row r="21" spans="1:11" x14ac:dyDescent="0.3">
      <c r="A21">
        <v>20</v>
      </c>
      <c r="B21" s="1">
        <v>45231</v>
      </c>
      <c r="C21">
        <v>1190</v>
      </c>
      <c r="D21" s="3">
        <v>1354.1666666666667</v>
      </c>
      <c r="E21" s="3">
        <v>1346.25</v>
      </c>
      <c r="F21" s="3">
        <f t="shared" si="0"/>
        <v>0.8839368616527391</v>
      </c>
      <c r="G21" s="3">
        <v>99.527893642368397</v>
      </c>
      <c r="H21" s="3">
        <v>1195.6447147128456</v>
      </c>
      <c r="I21" s="3">
        <v>1300.08</v>
      </c>
      <c r="J21" s="3">
        <v>1293.942239665703</v>
      </c>
      <c r="K21" s="3">
        <v>8.7346419887145412</v>
      </c>
    </row>
    <row r="22" spans="1:11" x14ac:dyDescent="0.3">
      <c r="A22">
        <v>21</v>
      </c>
      <c r="B22" s="1">
        <v>45261</v>
      </c>
      <c r="C22">
        <v>1170</v>
      </c>
      <c r="D22" s="3">
        <v>1367.5</v>
      </c>
      <c r="E22" s="3">
        <v>1360.8333333333335</v>
      </c>
      <c r="F22" s="3">
        <f t="shared" si="0"/>
        <v>0.85976729944886698</v>
      </c>
      <c r="G22" s="3">
        <v>93.616937033261792</v>
      </c>
      <c r="H22" s="3">
        <v>1249.7738519091934</v>
      </c>
      <c r="I22" s="3">
        <v>1325.6559999999999</v>
      </c>
      <c r="J22" s="3">
        <v>1241.0385427976569</v>
      </c>
      <c r="K22" s="3">
        <v>6.0716703245860577</v>
      </c>
    </row>
    <row r="23" spans="1:11" x14ac:dyDescent="0.3">
      <c r="A23">
        <v>22</v>
      </c>
      <c r="B23" s="1">
        <v>45292</v>
      </c>
      <c r="C23">
        <v>1140</v>
      </c>
      <c r="D23" s="3">
        <v>1399.1666666666667</v>
      </c>
      <c r="E23" s="3">
        <v>1383.3333333333335</v>
      </c>
      <c r="F23" s="3">
        <f t="shared" si="0"/>
        <v>0.82409638554216857</v>
      </c>
      <c r="G23" s="3">
        <v>84.535321900265998</v>
      </c>
      <c r="H23" s="3">
        <v>1348.548718303766</v>
      </c>
      <c r="I23" s="3">
        <v>1351.232</v>
      </c>
      <c r="J23" s="3">
        <v>1142.2683208194023</v>
      </c>
      <c r="K23" s="3">
        <v>0.19897551047388892</v>
      </c>
    </row>
    <row r="24" spans="1:11" x14ac:dyDescent="0.3">
      <c r="A24">
        <v>23</v>
      </c>
      <c r="B24" s="1">
        <v>45323</v>
      </c>
      <c r="C24">
        <v>1040</v>
      </c>
      <c r="D24" s="3">
        <v>1428.3333333333333</v>
      </c>
      <c r="E24" s="3">
        <v>1413.75</v>
      </c>
      <c r="F24" s="3">
        <f t="shared" si="0"/>
        <v>0.73563218390804597</v>
      </c>
      <c r="G24" s="3">
        <v>75.084876272975464</v>
      </c>
      <c r="H24" s="3">
        <v>1385.0991725937179</v>
      </c>
      <c r="I24" s="3">
        <v>1376.808</v>
      </c>
      <c r="J24" s="3">
        <v>1033.7745833164281</v>
      </c>
      <c r="K24" s="3">
        <v>0.59859775803575899</v>
      </c>
    </row>
    <row r="25" spans="1:11" x14ac:dyDescent="0.3">
      <c r="A25">
        <v>24</v>
      </c>
      <c r="B25" s="1">
        <v>45352</v>
      </c>
      <c r="C25">
        <v>1030</v>
      </c>
      <c r="D25" s="3">
        <v>1447.5</v>
      </c>
      <c r="E25" s="3">
        <v>1437.9166666666665</v>
      </c>
      <c r="F25" s="3">
        <f t="shared" si="0"/>
        <v>0.71631411185163729</v>
      </c>
      <c r="G25" s="3">
        <v>71.555182597075316</v>
      </c>
      <c r="H25" s="3">
        <v>1439.4484964141498</v>
      </c>
      <c r="I25" s="3">
        <v>1402.384</v>
      </c>
      <c r="J25" s="3">
        <v>1003.4784319121687</v>
      </c>
      <c r="K25" s="3">
        <v>2.5749095230904144</v>
      </c>
    </row>
    <row r="26" spans="1:11" x14ac:dyDescent="0.3">
      <c r="A26">
        <v>25</v>
      </c>
      <c r="B26" s="1">
        <v>45383</v>
      </c>
      <c r="C26">
        <v>1500</v>
      </c>
      <c r="D26" s="3">
        <v>1461.6666666666667</v>
      </c>
      <c r="E26" s="3">
        <v>1454.5833333333335</v>
      </c>
      <c r="F26" s="3">
        <f t="shared" si="0"/>
        <v>1.0312231452305929</v>
      </c>
      <c r="G26" s="3">
        <v>97.284540203978437</v>
      </c>
      <c r="H26" s="3">
        <v>1541.8688281354057</v>
      </c>
      <c r="I26" s="3">
        <v>1427.96</v>
      </c>
      <c r="J26" s="3">
        <v>1389.1843202967304</v>
      </c>
      <c r="K26" s="3">
        <v>7.3877119802179703</v>
      </c>
    </row>
    <row r="27" spans="1:11" x14ac:dyDescent="0.3">
      <c r="A27">
        <v>26</v>
      </c>
      <c r="B27" s="1">
        <v>45413</v>
      </c>
      <c r="C27">
        <v>1550</v>
      </c>
      <c r="D27" s="3">
        <v>1476.6666666666667</v>
      </c>
      <c r="E27" s="3">
        <v>1469.1666666666667</v>
      </c>
      <c r="F27" s="3">
        <f t="shared" si="0"/>
        <v>1.0550198525241066</v>
      </c>
      <c r="G27" s="3">
        <v>99.829737217083164</v>
      </c>
      <c r="H27" s="3">
        <v>1552.6435741581411</v>
      </c>
      <c r="I27" s="3">
        <v>1453.5360000000001</v>
      </c>
      <c r="J27" s="3">
        <v>1451.0611691557019</v>
      </c>
      <c r="K27" s="3">
        <v>6.3831503770514884</v>
      </c>
    </row>
    <row r="28" spans="1:11" x14ac:dyDescent="0.3">
      <c r="A28">
        <v>27</v>
      </c>
      <c r="B28" s="1">
        <v>45444</v>
      </c>
      <c r="C28">
        <v>1740</v>
      </c>
      <c r="D28" s="3">
        <v>1489.1666666666667</v>
      </c>
      <c r="E28" s="3">
        <v>1482.9166666666667</v>
      </c>
      <c r="F28" s="3">
        <f t="shared" si="0"/>
        <v>1.1733633042989604</v>
      </c>
      <c r="G28" s="3">
        <v>113.44561491703357</v>
      </c>
      <c r="H28" s="3">
        <v>1533.7745767190015</v>
      </c>
      <c r="I28" s="3">
        <v>1479.1120000000001</v>
      </c>
      <c r="J28" s="3">
        <v>1677.9877037116335</v>
      </c>
      <c r="K28" s="3">
        <v>3.5639250740440538</v>
      </c>
    </row>
    <row r="29" spans="1:11" x14ac:dyDescent="0.3">
      <c r="A29">
        <v>28</v>
      </c>
      <c r="B29" s="1">
        <v>45474</v>
      </c>
      <c r="C29">
        <v>2020</v>
      </c>
      <c r="D29" s="3">
        <v>1497.5</v>
      </c>
      <c r="E29" s="3">
        <v>1493.3333333333335</v>
      </c>
      <c r="F29" s="3">
        <f t="shared" si="0"/>
        <v>1.3526785714285714</v>
      </c>
      <c r="G29" s="3">
        <v>124.0325154427217</v>
      </c>
      <c r="H29" s="3">
        <v>1628.6052030709943</v>
      </c>
      <c r="I29" s="3">
        <v>1504.6880000000001</v>
      </c>
      <c r="J29" s="3">
        <v>1866.3023759647806</v>
      </c>
      <c r="K29" s="3">
        <v>7.6087932690702669</v>
      </c>
    </row>
    <row r="30" spans="1:11" x14ac:dyDescent="0.3">
      <c r="A30">
        <v>29</v>
      </c>
      <c r="B30" s="1">
        <v>45505</v>
      </c>
      <c r="C30">
        <v>1930</v>
      </c>
      <c r="D30" s="3">
        <v>1512.5</v>
      </c>
      <c r="E30" s="3">
        <v>1505</v>
      </c>
      <c r="F30" s="3">
        <f t="shared" si="0"/>
        <v>1.2823920265780731</v>
      </c>
      <c r="G30" s="3">
        <v>118.32137595689694</v>
      </c>
      <c r="H30" s="3">
        <v>1631.1507404233328</v>
      </c>
      <c r="I30" s="3">
        <v>1530.2640000000001</v>
      </c>
      <c r="J30" s="3">
        <v>1810.6294205730496</v>
      </c>
      <c r="K30" s="3">
        <v>6.1850041153860298</v>
      </c>
    </row>
    <row r="31" spans="1:11" x14ac:dyDescent="0.3">
      <c r="A31">
        <v>30</v>
      </c>
      <c r="B31" s="1">
        <v>45536</v>
      </c>
      <c r="C31">
        <v>1800</v>
      </c>
      <c r="D31" s="3">
        <v>1527.5</v>
      </c>
      <c r="E31" s="3">
        <v>1520</v>
      </c>
      <c r="F31" s="3">
        <f t="shared" si="0"/>
        <v>1.1842105263157894</v>
      </c>
      <c r="G31" s="3">
        <v>113.16767900864333</v>
      </c>
      <c r="H31" s="3">
        <v>1590.5601455893805</v>
      </c>
      <c r="I31" s="3">
        <v>1555.84</v>
      </c>
      <c r="J31" s="3">
        <v>1760.7080170880765</v>
      </c>
      <c r="K31" s="3">
        <v>2.1828879395513039</v>
      </c>
    </row>
    <row r="32" spans="1:11" x14ac:dyDescent="0.3">
      <c r="A32">
        <v>31</v>
      </c>
      <c r="B32" s="1">
        <v>45566</v>
      </c>
      <c r="C32">
        <v>1430</v>
      </c>
      <c r="G32" s="3">
        <v>109.59832580769599</v>
      </c>
      <c r="H32" s="3">
        <v>1304.7644564471857</v>
      </c>
      <c r="I32" s="3">
        <v>1581.4159999999999</v>
      </c>
      <c r="J32" s="3">
        <v>1733.2054600550337</v>
      </c>
      <c r="K32" s="3">
        <v>21.203179024827527</v>
      </c>
    </row>
    <row r="33" spans="1:11" x14ac:dyDescent="0.3">
      <c r="A33">
        <v>32</v>
      </c>
      <c r="B33" s="1">
        <v>45597</v>
      </c>
      <c r="C33">
        <v>1370</v>
      </c>
      <c r="G33" s="3">
        <v>99.527893642368397</v>
      </c>
      <c r="H33" s="3">
        <v>1376.4985371063854</v>
      </c>
      <c r="I33" s="3">
        <v>1606.992</v>
      </c>
      <c r="J33" s="3">
        <v>1599.4052886013687</v>
      </c>
      <c r="K33" s="3">
        <v>16.744911576742243</v>
      </c>
    </row>
    <row r="34" spans="1:11" x14ac:dyDescent="0.3">
      <c r="A34">
        <v>33</v>
      </c>
      <c r="B34" s="1">
        <v>45627</v>
      </c>
      <c r="C34">
        <v>1320</v>
      </c>
      <c r="G34" s="3">
        <v>93.616937033261792</v>
      </c>
      <c r="H34" s="3">
        <v>1410.0012688206284</v>
      </c>
      <c r="I34" s="3">
        <v>1632.568</v>
      </c>
      <c r="J34" s="3">
        <v>1528.3601565851814</v>
      </c>
      <c r="K34" s="3">
        <v>15.784860347362223</v>
      </c>
    </row>
    <row r="35" spans="1:11" x14ac:dyDescent="0.3">
      <c r="A35">
        <v>34</v>
      </c>
      <c r="B35" s="1">
        <v>45658</v>
      </c>
      <c r="C35">
        <v>1240</v>
      </c>
      <c r="G35" s="3">
        <v>84.535321900265998</v>
      </c>
      <c r="H35" s="3">
        <v>1466.8424655233946</v>
      </c>
      <c r="I35" s="3">
        <v>1658.144</v>
      </c>
      <c r="J35" s="3">
        <v>1401.7173679699467</v>
      </c>
      <c r="K35" s="3">
        <v>13.041723223382801</v>
      </c>
    </row>
    <row r="36" spans="1:11" x14ac:dyDescent="0.3">
      <c r="A36">
        <v>35</v>
      </c>
      <c r="B36" s="1">
        <v>45689</v>
      </c>
      <c r="C36">
        <v>1220</v>
      </c>
      <c r="G36" s="3">
        <v>75.084876272975464</v>
      </c>
      <c r="H36" s="3">
        <v>1624.8278755426306</v>
      </c>
      <c r="I36" s="3">
        <v>1683.7199999999998</v>
      </c>
      <c r="J36" s="3">
        <v>1264.2190787833422</v>
      </c>
      <c r="K36" s="3">
        <v>3.6245146543723101</v>
      </c>
    </row>
    <row r="37" spans="1:11" x14ac:dyDescent="0.3">
      <c r="A37">
        <v>36</v>
      </c>
      <c r="B37" s="1">
        <v>45717</v>
      </c>
      <c r="C37">
        <v>1210</v>
      </c>
      <c r="G37" s="3">
        <v>71.555182597075316</v>
      </c>
      <c r="H37" s="3">
        <v>1691.0026025836128</v>
      </c>
      <c r="I37" s="3">
        <v>1709.2959999999998</v>
      </c>
      <c r="J37" s="3">
        <v>1223.0898739245044</v>
      </c>
      <c r="K37" s="3">
        <v>1.0818077623557392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9E74-41F4-4CB6-B9B4-545A8BD3DDBC}">
  <dimension ref="A1:B37"/>
  <sheetViews>
    <sheetView topLeftCell="A13" workbookViewId="0">
      <selection activeCell="J18" sqref="J18"/>
    </sheetView>
  </sheetViews>
  <sheetFormatPr defaultRowHeight="14.4" x14ac:dyDescent="0.3"/>
  <sheetData>
    <row r="1" spans="1:2" x14ac:dyDescent="0.3">
      <c r="A1" s="10" t="s">
        <v>0</v>
      </c>
      <c r="B1" s="10" t="s">
        <v>49</v>
      </c>
    </row>
    <row r="2" spans="1:2" x14ac:dyDescent="0.3">
      <c r="A2" s="11">
        <v>44652</v>
      </c>
      <c r="B2" s="12">
        <v>913</v>
      </c>
    </row>
    <row r="3" spans="1:2" x14ac:dyDescent="0.3">
      <c r="A3" s="11">
        <v>44682</v>
      </c>
      <c r="B3" s="12">
        <v>926</v>
      </c>
    </row>
    <row r="4" spans="1:2" x14ac:dyDescent="0.3">
      <c r="A4" s="11">
        <v>44713</v>
      </c>
      <c r="B4" s="12">
        <v>975</v>
      </c>
    </row>
    <row r="5" spans="1:2" x14ac:dyDescent="0.3">
      <c r="A5" s="11">
        <v>44743</v>
      </c>
      <c r="B5" s="12">
        <v>989</v>
      </c>
    </row>
    <row r="6" spans="1:2" x14ac:dyDescent="0.3">
      <c r="A6" s="11">
        <v>44774</v>
      </c>
      <c r="B6" s="12">
        <v>1027</v>
      </c>
    </row>
    <row r="7" spans="1:2" x14ac:dyDescent="0.3">
      <c r="A7" s="11">
        <v>44805</v>
      </c>
      <c r="B7" s="12">
        <v>953</v>
      </c>
    </row>
    <row r="8" spans="1:2" x14ac:dyDescent="0.3">
      <c r="A8" s="11">
        <v>44835</v>
      </c>
      <c r="B8" s="12">
        <v>1006</v>
      </c>
    </row>
    <row r="9" spans="1:2" x14ac:dyDescent="0.3">
      <c r="A9" s="11">
        <v>44866</v>
      </c>
      <c r="B9" s="12">
        <v>1068</v>
      </c>
    </row>
    <row r="10" spans="1:2" x14ac:dyDescent="0.3">
      <c r="A10" s="11">
        <v>44896</v>
      </c>
      <c r="B10" s="12">
        <v>1082</v>
      </c>
    </row>
    <row r="11" spans="1:2" x14ac:dyDescent="0.3">
      <c r="A11" s="11">
        <v>44927</v>
      </c>
      <c r="B11" s="12">
        <v>1097</v>
      </c>
    </row>
    <row r="12" spans="1:2" x14ac:dyDescent="0.3">
      <c r="A12" s="11">
        <v>44958</v>
      </c>
      <c r="B12" s="12">
        <v>1131</v>
      </c>
    </row>
    <row r="13" spans="1:2" x14ac:dyDescent="0.3">
      <c r="A13" s="11">
        <v>44986</v>
      </c>
      <c r="B13" s="12">
        <v>1184</v>
      </c>
    </row>
    <row r="14" spans="1:2" x14ac:dyDescent="0.3">
      <c r="A14" s="11">
        <v>45017</v>
      </c>
      <c r="B14" s="12">
        <v>1163</v>
      </c>
    </row>
    <row r="15" spans="1:2" x14ac:dyDescent="0.3">
      <c r="A15" s="11">
        <v>45047</v>
      </c>
      <c r="B15" s="12">
        <v>1147</v>
      </c>
    </row>
    <row r="16" spans="1:2" x14ac:dyDescent="0.3">
      <c r="A16" s="11">
        <v>45078</v>
      </c>
      <c r="B16" s="12">
        <v>1219</v>
      </c>
    </row>
    <row r="17" spans="1:2" x14ac:dyDescent="0.3">
      <c r="A17" s="11">
        <v>45108</v>
      </c>
      <c r="B17" s="12">
        <v>1342</v>
      </c>
    </row>
    <row r="18" spans="1:2" x14ac:dyDescent="0.3">
      <c r="A18" s="11">
        <v>45139</v>
      </c>
      <c r="B18" s="12">
        <v>1293</v>
      </c>
    </row>
    <row r="19" spans="1:2" x14ac:dyDescent="0.3">
      <c r="A19" s="11">
        <v>45170</v>
      </c>
      <c r="B19" s="12">
        <v>1274</v>
      </c>
    </row>
    <row r="20" spans="1:2" x14ac:dyDescent="0.3">
      <c r="A20" s="11">
        <v>45200</v>
      </c>
      <c r="B20" s="12">
        <v>1528</v>
      </c>
    </row>
    <row r="21" spans="1:2" x14ac:dyDescent="0.3">
      <c r="A21" s="11">
        <v>45231</v>
      </c>
      <c r="B21" s="12">
        <v>1381</v>
      </c>
    </row>
    <row r="22" spans="1:2" x14ac:dyDescent="0.3">
      <c r="A22" s="11">
        <v>45261</v>
      </c>
      <c r="B22" s="12">
        <v>1357</v>
      </c>
    </row>
    <row r="23" spans="1:2" x14ac:dyDescent="0.3">
      <c r="A23" s="11">
        <v>45292</v>
      </c>
      <c r="B23" s="12">
        <v>1419</v>
      </c>
    </row>
    <row r="24" spans="1:2" x14ac:dyDescent="0.3">
      <c r="A24" s="11">
        <v>45323</v>
      </c>
      <c r="B24" s="12">
        <v>1452</v>
      </c>
    </row>
    <row r="25" spans="1:2" x14ac:dyDescent="0.3">
      <c r="A25" s="11">
        <v>45352</v>
      </c>
      <c r="B25" s="12">
        <v>1476</v>
      </c>
    </row>
    <row r="26" spans="1:2" x14ac:dyDescent="0.3">
      <c r="A26" s="11">
        <v>45383</v>
      </c>
      <c r="B26" s="12">
        <v>1495</v>
      </c>
    </row>
    <row r="27" spans="1:2" x14ac:dyDescent="0.3">
      <c r="A27" s="11">
        <v>45413</v>
      </c>
      <c r="B27" s="12">
        <v>1508</v>
      </c>
    </row>
    <row r="28" spans="1:2" x14ac:dyDescent="0.3">
      <c r="A28" s="11">
        <v>45444</v>
      </c>
      <c r="B28" s="12">
        <v>1492</v>
      </c>
    </row>
    <row r="29" spans="1:2" x14ac:dyDescent="0.3">
      <c r="A29" s="11">
        <v>45474</v>
      </c>
      <c r="B29" s="12">
        <v>1523</v>
      </c>
    </row>
    <row r="30" spans="1:2" x14ac:dyDescent="0.3">
      <c r="A30" s="11">
        <v>45505</v>
      </c>
      <c r="B30" s="12">
        <v>1557</v>
      </c>
    </row>
    <row r="31" spans="1:2" x14ac:dyDescent="0.3">
      <c r="A31" s="11">
        <v>45536</v>
      </c>
      <c r="B31" s="12">
        <v>1571</v>
      </c>
    </row>
    <row r="32" spans="1:2" x14ac:dyDescent="0.3">
      <c r="A32" s="11">
        <v>45566</v>
      </c>
      <c r="B32" s="12">
        <v>1559</v>
      </c>
    </row>
    <row r="33" spans="1:2" x14ac:dyDescent="0.3">
      <c r="A33" s="11">
        <v>45597</v>
      </c>
      <c r="B33" s="12">
        <v>1588</v>
      </c>
    </row>
    <row r="34" spans="1:2" x14ac:dyDescent="0.3">
      <c r="A34" s="11">
        <v>45627</v>
      </c>
      <c r="B34" s="12">
        <v>1596</v>
      </c>
    </row>
    <row r="35" spans="1:2" x14ac:dyDescent="0.3">
      <c r="A35" s="11">
        <v>45658</v>
      </c>
      <c r="B35" s="12">
        <v>1611</v>
      </c>
    </row>
    <row r="36" spans="1:2" x14ac:dyDescent="0.3">
      <c r="A36" s="11">
        <v>45689</v>
      </c>
      <c r="B36" s="12">
        <v>1584</v>
      </c>
    </row>
    <row r="37" spans="1:2" x14ac:dyDescent="0.3">
      <c r="A37" s="11">
        <v>45717</v>
      </c>
      <c r="B37" s="12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2025-04-04T14:59:03Z</cp:lastPrinted>
  <dcterms:created xsi:type="dcterms:W3CDTF">2025-03-16T13:32:04Z</dcterms:created>
  <dcterms:modified xsi:type="dcterms:W3CDTF">2025-05-04T19:37:28Z</dcterms:modified>
</cp:coreProperties>
</file>
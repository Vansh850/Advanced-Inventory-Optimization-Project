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C58045EAD3D6D/Desktop/Forecasting/"/>
    </mc:Choice>
  </mc:AlternateContent>
  <xr:revisionPtr revIDLastSave="76" documentId="8_{1751B0B0-3C3A-4AAE-B8D0-9AB836A5C28F}" xr6:coauthVersionLast="47" xr6:coauthVersionMax="47" xr10:uidLastSave="{FCCB1F63-3B46-4383-BFC5-912AF4BAF63C}"/>
  <bookViews>
    <workbookView minimized="1" xWindow="5760" yWindow="3360" windowWidth="17280" windowHeight="8880" activeTab="2" xr2:uid="{7BBAFB2E-136E-4C2C-98A4-82304FF857B6}"/>
  </bookViews>
  <sheets>
    <sheet name="Sheet1" sheetId="1" r:id="rId1"/>
    <sheet name="Sheet4" sheetId="4" r:id="rId2"/>
    <sheet name="Sheet3" sheetId="3" r:id="rId3"/>
    <sheet name="Shee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5" l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8" i="5"/>
  <c r="I37" i="5"/>
  <c r="J37" i="5" s="1"/>
  <c r="K37" i="5" s="1"/>
  <c r="H37" i="5"/>
  <c r="I36" i="5"/>
  <c r="J36" i="5" s="1"/>
  <c r="K36" i="5" s="1"/>
  <c r="H36" i="5"/>
  <c r="I35" i="5"/>
  <c r="J35" i="5" s="1"/>
  <c r="K35" i="5" s="1"/>
  <c r="H35" i="5"/>
  <c r="I34" i="5"/>
  <c r="J34" i="5" s="1"/>
  <c r="K34" i="5" s="1"/>
  <c r="H34" i="5"/>
  <c r="I33" i="5"/>
  <c r="J33" i="5" s="1"/>
  <c r="K33" i="5" s="1"/>
  <c r="H33" i="5"/>
  <c r="I32" i="5"/>
  <c r="J32" i="5" s="1"/>
  <c r="K32" i="5" s="1"/>
  <c r="H32" i="5"/>
  <c r="I31" i="5"/>
  <c r="J31" i="5" s="1"/>
  <c r="K31" i="5" s="1"/>
  <c r="H31" i="5"/>
  <c r="D31" i="5"/>
  <c r="E31" i="5" s="1"/>
  <c r="K30" i="5"/>
  <c r="J30" i="5"/>
  <c r="I30" i="5"/>
  <c r="H30" i="5"/>
  <c r="D30" i="5"/>
  <c r="I29" i="5"/>
  <c r="J29" i="5" s="1"/>
  <c r="K29" i="5" s="1"/>
  <c r="H29" i="5"/>
  <c r="D29" i="5"/>
  <c r="E30" i="5" s="1"/>
  <c r="I28" i="5"/>
  <c r="J28" i="5" s="1"/>
  <c r="K28" i="5" s="1"/>
  <c r="H28" i="5"/>
  <c r="D28" i="5"/>
  <c r="E29" i="5" s="1"/>
  <c r="I27" i="5"/>
  <c r="J27" i="5" s="1"/>
  <c r="K27" i="5" s="1"/>
  <c r="H27" i="5"/>
  <c r="D27" i="5"/>
  <c r="I26" i="5"/>
  <c r="J26" i="5" s="1"/>
  <c r="K26" i="5" s="1"/>
  <c r="H26" i="5"/>
  <c r="D26" i="5"/>
  <c r="E27" i="5" s="1"/>
  <c r="I25" i="5"/>
  <c r="J25" i="5" s="1"/>
  <c r="K25" i="5" s="1"/>
  <c r="H25" i="5"/>
  <c r="D25" i="5"/>
  <c r="I24" i="5"/>
  <c r="J24" i="5" s="1"/>
  <c r="K24" i="5" s="1"/>
  <c r="H24" i="5"/>
  <c r="D24" i="5"/>
  <c r="E25" i="5" s="1"/>
  <c r="I23" i="5"/>
  <c r="J23" i="5" s="1"/>
  <c r="K23" i="5" s="1"/>
  <c r="H23" i="5"/>
  <c r="D23" i="5"/>
  <c r="E24" i="5" s="1"/>
  <c r="I22" i="5"/>
  <c r="J22" i="5" s="1"/>
  <c r="K22" i="5" s="1"/>
  <c r="H22" i="5"/>
  <c r="D22" i="5"/>
  <c r="I21" i="5"/>
  <c r="J21" i="5" s="1"/>
  <c r="K21" i="5" s="1"/>
  <c r="H21" i="5"/>
  <c r="D21" i="5"/>
  <c r="E22" i="5" s="1"/>
  <c r="I20" i="5"/>
  <c r="J20" i="5" s="1"/>
  <c r="K20" i="5" s="1"/>
  <c r="H20" i="5"/>
  <c r="D20" i="5"/>
  <c r="I19" i="5"/>
  <c r="J19" i="5" s="1"/>
  <c r="K19" i="5" s="1"/>
  <c r="H19" i="5"/>
  <c r="D19" i="5"/>
  <c r="I18" i="5"/>
  <c r="J18" i="5" s="1"/>
  <c r="K18" i="5" s="1"/>
  <c r="H18" i="5"/>
  <c r="D18" i="5"/>
  <c r="E19" i="5" s="1"/>
  <c r="I17" i="5"/>
  <c r="J17" i="5" s="1"/>
  <c r="K17" i="5" s="1"/>
  <c r="H17" i="5"/>
  <c r="D17" i="5"/>
  <c r="I16" i="5"/>
  <c r="J16" i="5" s="1"/>
  <c r="K16" i="5" s="1"/>
  <c r="H16" i="5"/>
  <c r="D16" i="5"/>
  <c r="E17" i="5" s="1"/>
  <c r="I15" i="5"/>
  <c r="J15" i="5" s="1"/>
  <c r="K15" i="5" s="1"/>
  <c r="H15" i="5"/>
  <c r="D15" i="5"/>
  <c r="I14" i="5"/>
  <c r="J14" i="5" s="1"/>
  <c r="K14" i="5" s="1"/>
  <c r="H14" i="5"/>
  <c r="D14" i="5"/>
  <c r="I13" i="5"/>
  <c r="J13" i="5" s="1"/>
  <c r="K13" i="5" s="1"/>
  <c r="H13" i="5"/>
  <c r="D13" i="5"/>
  <c r="E14" i="5" s="1"/>
  <c r="I12" i="5"/>
  <c r="J12" i="5" s="1"/>
  <c r="K12" i="5" s="1"/>
  <c r="H12" i="5"/>
  <c r="D12" i="5"/>
  <c r="E13" i="5" s="1"/>
  <c r="I11" i="5"/>
  <c r="J11" i="5" s="1"/>
  <c r="K11" i="5" s="1"/>
  <c r="H11" i="5"/>
  <c r="D11" i="5"/>
  <c r="E12" i="5" s="1"/>
  <c r="I10" i="5"/>
  <c r="J10" i="5" s="1"/>
  <c r="K10" i="5" s="1"/>
  <c r="H10" i="5"/>
  <c r="D10" i="5"/>
  <c r="I9" i="5"/>
  <c r="J9" i="5" s="1"/>
  <c r="K9" i="5" s="1"/>
  <c r="H9" i="5"/>
  <c r="D9" i="5"/>
  <c r="I8" i="5"/>
  <c r="J8" i="5" s="1"/>
  <c r="K8" i="5" s="1"/>
  <c r="H8" i="5"/>
  <c r="D8" i="5"/>
  <c r="E9" i="5" s="1"/>
  <c r="I7" i="5"/>
  <c r="J7" i="5" s="1"/>
  <c r="K7" i="5" s="1"/>
  <c r="H7" i="5"/>
  <c r="D7" i="5"/>
  <c r="E8" i="5" s="1"/>
  <c r="I6" i="5"/>
  <c r="J6" i="5" s="1"/>
  <c r="K6" i="5" s="1"/>
  <c r="H6" i="5"/>
  <c r="I5" i="5"/>
  <c r="J5" i="5" s="1"/>
  <c r="K5" i="5" s="1"/>
  <c r="H5" i="5"/>
  <c r="I4" i="5"/>
  <c r="J4" i="5" s="1"/>
  <c r="K4" i="5" s="1"/>
  <c r="H4" i="5"/>
  <c r="I3" i="5"/>
  <c r="J3" i="5" s="1"/>
  <c r="K3" i="5" s="1"/>
  <c r="H3" i="5"/>
  <c r="I2" i="5"/>
  <c r="J2" i="5" s="1"/>
  <c r="K2" i="5" s="1"/>
  <c r="H2" i="5"/>
  <c r="I24" i="3"/>
  <c r="I25" i="3"/>
  <c r="I26" i="3"/>
  <c r="I27" i="3"/>
  <c r="I28" i="3"/>
  <c r="I29" i="3"/>
  <c r="I30" i="3"/>
  <c r="I31" i="3"/>
  <c r="I32" i="3"/>
  <c r="I33" i="3"/>
  <c r="I34" i="3"/>
  <c r="I35" i="3"/>
  <c r="J35" i="3" s="1"/>
  <c r="K35" i="3" s="1"/>
  <c r="I36" i="3"/>
  <c r="J36" i="3" s="1"/>
  <c r="K36" i="3" s="1"/>
  <c r="I37" i="3"/>
  <c r="J37" i="3" s="1"/>
  <c r="K37" i="3" s="1"/>
  <c r="I38" i="3"/>
  <c r="J38" i="3" s="1"/>
  <c r="K38" i="3" s="1"/>
  <c r="I39" i="3"/>
  <c r="J39" i="3" s="1"/>
  <c r="K39" i="3" s="1"/>
  <c r="I40" i="3"/>
  <c r="J40" i="3" s="1"/>
  <c r="K40" i="3" s="1"/>
  <c r="I41" i="3"/>
  <c r="J41" i="3" s="1"/>
  <c r="K41" i="3" s="1"/>
  <c r="I42" i="3"/>
  <c r="J42" i="3" s="1"/>
  <c r="K42" i="3" s="1"/>
  <c r="I43" i="3"/>
  <c r="I44" i="3"/>
  <c r="I45" i="3"/>
  <c r="I46" i="3"/>
  <c r="I47" i="3"/>
  <c r="I48" i="3"/>
  <c r="I49" i="3"/>
  <c r="I50" i="3"/>
  <c r="I51" i="3"/>
  <c r="I52" i="3"/>
  <c r="J52" i="3" s="1"/>
  <c r="K52" i="3" s="1"/>
  <c r="I53" i="3"/>
  <c r="J53" i="3" s="1"/>
  <c r="K53" i="3" s="1"/>
  <c r="I54" i="3"/>
  <c r="J54" i="3" s="1"/>
  <c r="K54" i="3" s="1"/>
  <c r="I55" i="3"/>
  <c r="J55" i="3" s="1"/>
  <c r="K55" i="3" s="1"/>
  <c r="I56" i="3"/>
  <c r="J56" i="3" s="1"/>
  <c r="K56" i="3" s="1"/>
  <c r="I57" i="3"/>
  <c r="J57" i="3" s="1"/>
  <c r="K57" i="3" s="1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J70" i="3" s="1"/>
  <c r="I71" i="3"/>
  <c r="J71" i="3" s="1"/>
  <c r="J24" i="3"/>
  <c r="K24" i="3" s="1"/>
  <c r="J31" i="3"/>
  <c r="K31" i="3" s="1"/>
  <c r="J59" i="3"/>
  <c r="K59" i="3" s="1"/>
  <c r="J68" i="3"/>
  <c r="J6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29" i="3"/>
  <c r="J29" i="3"/>
  <c r="K29" i="3" s="1"/>
  <c r="J43" i="3"/>
  <c r="K43" i="3" s="1"/>
  <c r="J44" i="3"/>
  <c r="K44" i="3" s="1"/>
  <c r="J45" i="3"/>
  <c r="K45" i="3" s="1"/>
  <c r="J51" i="3"/>
  <c r="K51" i="3" s="1"/>
  <c r="J58" i="3"/>
  <c r="K58" i="3" s="1"/>
  <c r="J60" i="3"/>
  <c r="J61" i="3"/>
  <c r="J32" i="3"/>
  <c r="K32" i="3" s="1"/>
  <c r="J34" i="3"/>
  <c r="K34" i="3" s="1"/>
  <c r="H30" i="3"/>
  <c r="H26" i="3"/>
  <c r="H25" i="3"/>
  <c r="H35" i="3"/>
  <c r="H31" i="3"/>
  <c r="H28" i="3"/>
  <c r="H27" i="3"/>
  <c r="J63" i="3"/>
  <c r="J65" i="3"/>
  <c r="J66" i="3"/>
  <c r="J67" i="3"/>
  <c r="J64" i="3"/>
  <c r="J11" i="3"/>
  <c r="J10" i="3"/>
  <c r="J30" i="3"/>
  <c r="K30" i="3" s="1"/>
  <c r="H32" i="3"/>
  <c r="H33" i="3"/>
  <c r="H34" i="3"/>
  <c r="J46" i="3"/>
  <c r="K46" i="3" s="1"/>
  <c r="J47" i="3"/>
  <c r="K47" i="3" s="1"/>
  <c r="J48" i="3"/>
  <c r="K48" i="3" s="1"/>
  <c r="J49" i="3"/>
  <c r="K49" i="3" s="1"/>
  <c r="J50" i="3"/>
  <c r="K50" i="3" s="1"/>
  <c r="J62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L4" i="3"/>
  <c r="L5" i="3"/>
  <c r="L6" i="3"/>
  <c r="L7" i="3"/>
  <c r="L8" i="3"/>
  <c r="L3" i="3"/>
  <c r="K4" i="3"/>
  <c r="K5" i="3"/>
  <c r="K6" i="3"/>
  <c r="K7" i="3"/>
  <c r="K8" i="3"/>
  <c r="K9" i="3"/>
  <c r="K10" i="3"/>
  <c r="K11" i="3"/>
  <c r="K12" i="3"/>
  <c r="K13" i="3"/>
  <c r="K14" i="3"/>
  <c r="K3" i="3"/>
  <c r="J12" i="3"/>
  <c r="J13" i="3"/>
  <c r="J14" i="3"/>
  <c r="J9" i="3"/>
  <c r="F37" i="3"/>
  <c r="F39" i="3"/>
  <c r="F41" i="3"/>
  <c r="E16" i="5" l="1"/>
  <c r="E11" i="5"/>
  <c r="E21" i="5"/>
  <c r="E28" i="5"/>
  <c r="E20" i="5"/>
  <c r="E15" i="5"/>
  <c r="E23" i="5"/>
  <c r="E10" i="5"/>
  <c r="E18" i="5"/>
  <c r="E26" i="5"/>
  <c r="H29" i="3"/>
  <c r="J33" i="3"/>
  <c r="K33" i="3" s="1"/>
  <c r="H24" i="3"/>
  <c r="J25" i="3"/>
  <c r="K25" i="3" s="1"/>
  <c r="J27" i="3"/>
  <c r="K27" i="3" s="1"/>
  <c r="J26" i="3"/>
  <c r="K26" i="3" s="1"/>
  <c r="J28" i="3"/>
  <c r="K28" i="3" s="1"/>
  <c r="F38" i="3"/>
  <c r="M13" i="3"/>
  <c r="M12" i="3"/>
  <c r="M8" i="3"/>
  <c r="M11" i="3"/>
  <c r="M7" i="3"/>
  <c r="M10" i="3"/>
  <c r="M5" i="3"/>
  <c r="M14" i="3"/>
  <c r="M6" i="3"/>
  <c r="M3" i="3"/>
  <c r="M4" i="3"/>
  <c r="M9" i="3"/>
  <c r="F42" i="3"/>
  <c r="F40" i="3"/>
  <c r="F44" i="3"/>
  <c r="F53" i="3"/>
  <c r="F36" i="3"/>
  <c r="F35" i="3"/>
  <c r="F52" i="3"/>
  <c r="F51" i="3"/>
  <c r="F30" i="3"/>
  <c r="F43" i="3"/>
  <c r="F34" i="3"/>
  <c r="F33" i="3"/>
  <c r="F47" i="3"/>
  <c r="F46" i="3"/>
  <c r="F50" i="3"/>
  <c r="F49" i="3"/>
  <c r="F48" i="3"/>
  <c r="F45" i="3"/>
  <c r="F32" i="3"/>
  <c r="F31" i="3"/>
  <c r="M15" i="3" l="1"/>
  <c r="N9" i="3" s="1"/>
  <c r="K72" i="3"/>
  <c r="N3" i="3" l="1"/>
  <c r="N4" i="3"/>
  <c r="N5" i="3"/>
  <c r="N6" i="3"/>
  <c r="N7" i="3"/>
  <c r="N8" i="3"/>
  <c r="N13" i="3"/>
  <c r="N12" i="3"/>
  <c r="N11" i="3"/>
  <c r="N10" i="3"/>
  <c r="N14" i="3"/>
</calcChain>
</file>

<file path=xl/sharedStrings.xml><?xml version="1.0" encoding="utf-8"?>
<sst xmlns="http://schemas.openxmlformats.org/spreadsheetml/2006/main" count="130" uniqueCount="55">
  <si>
    <t>Month</t>
  </si>
  <si>
    <t>Sales Data Table</t>
  </si>
  <si>
    <t>2022-23</t>
  </si>
  <si>
    <t>2023-24</t>
  </si>
  <si>
    <t>2024-25</t>
  </si>
  <si>
    <t>Apr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</si>
  <si>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</si>
  <si>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</si>
  <si>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</si>
  <si>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</si>
  <si>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</si>
  <si>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</si>
  <si>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</si>
  <si>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</si>
  <si>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</si>
  <si>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</si>
  <si>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</si>
  <si>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Quantity Sold</t>
  </si>
  <si>
    <t>Month-Year</t>
  </si>
  <si>
    <t>Year</t>
  </si>
  <si>
    <t>2022-2023</t>
  </si>
  <si>
    <t>2023-2024</t>
  </si>
  <si>
    <t>2024-2025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</si>
  <si>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</si>
  <si>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</si>
  <si>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</si>
  <si>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</si>
  <si>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</si>
  <si>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</si>
  <si>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</si>
  <si>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</si>
  <si>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</si>
  <si>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</si>
  <si>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</si>
  <si>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Months</t>
  </si>
  <si>
    <t>Total</t>
  </si>
  <si>
    <t>Trend</t>
  </si>
  <si>
    <t>12 MA</t>
  </si>
  <si>
    <t>Center MA</t>
  </si>
  <si>
    <t>2025-26</t>
  </si>
  <si>
    <t>CMA</t>
  </si>
  <si>
    <t>Calculations</t>
  </si>
  <si>
    <t>SI</t>
  </si>
  <si>
    <t>Adjusted SI</t>
  </si>
  <si>
    <t>Deseasonalize</t>
  </si>
  <si>
    <t>Time Period</t>
  </si>
  <si>
    <t>Forecast</t>
  </si>
  <si>
    <t>APE</t>
  </si>
  <si>
    <t xml:space="preserve">MAPE = </t>
  </si>
  <si>
    <t>Ratio to Moving Average</t>
  </si>
  <si>
    <t>Centered Moving Average</t>
  </si>
  <si>
    <t>Adjusted Seasonalized Indices</t>
  </si>
  <si>
    <t>Error %</t>
  </si>
  <si>
    <t>12 point Moving Average</t>
  </si>
  <si>
    <t>Actual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</si>
</sst>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7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2" fontId="2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10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612</c:v>
                </c:pt>
                <c:pt idx="1">
                  <c:v>589</c:v>
                </c:pt>
                <c:pt idx="2">
                  <c:v>621</c:v>
                </c:pt>
                <c:pt idx="3">
                  <c:v>786</c:v>
                </c:pt>
                <c:pt idx="4">
                  <c:v>741</c:v>
                </c:pt>
                <c:pt idx="5">
                  <c:v>972</c:v>
                </c:pt>
                <c:pt idx="6">
                  <c:v>893</c:v>
                </c:pt>
                <c:pt idx="7">
                  <c:v>1196</c:v>
                </c:pt>
                <c:pt idx="8">
                  <c:v>955</c:v>
                </c:pt>
                <c:pt idx="9">
                  <c:v>979</c:v>
                </c:pt>
                <c:pt idx="10">
                  <c:v>1225</c:v>
                </c:pt>
                <c:pt idx="11">
                  <c:v>1234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E-4CDE-B68F-2503CC3AA20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1112</c:v>
                </c:pt>
                <c:pt idx="1">
                  <c:v>1120</c:v>
                </c:pt>
                <c:pt idx="2">
                  <c:v>1157</c:v>
                </c:pt>
                <c:pt idx="3">
                  <c:v>1506</c:v>
                </c:pt>
                <c:pt idx="4">
                  <c:v>1598</c:v>
                </c:pt>
                <c:pt idx="5">
                  <c:v>1667</c:v>
                </c:pt>
                <c:pt idx="6">
                  <c:v>963</c:v>
                </c:pt>
                <c:pt idx="7">
                  <c:v>1228</c:v>
                </c:pt>
                <c:pt idx="8">
                  <c:v>1043</c:v>
                </c:pt>
                <c:pt idx="9">
                  <c:v>1074</c:v>
                </c:pt>
                <c:pt idx="10">
                  <c:v>1329</c:v>
                </c:pt>
                <c:pt idx="11">
                  <c:v>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1E-4CDE-B68F-2503CC3AA206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1084</c:v>
                </c:pt>
                <c:pt idx="1">
                  <c:v>1091</c:v>
                </c:pt>
                <c:pt idx="2">
                  <c:v>1136</c:v>
                </c:pt>
                <c:pt idx="3">
                  <c:v>1555</c:v>
                </c:pt>
                <c:pt idx="4">
                  <c:v>1625</c:v>
                </c:pt>
                <c:pt idx="5">
                  <c:v>1724</c:v>
                </c:pt>
                <c:pt idx="6">
                  <c:v>1007</c:v>
                </c:pt>
                <c:pt idx="7">
                  <c:v>1168</c:v>
                </c:pt>
                <c:pt idx="8">
                  <c:v>1037</c:v>
                </c:pt>
                <c:pt idx="9">
                  <c:v>1061</c:v>
                </c:pt>
                <c:pt idx="10">
                  <c:v>1416</c:v>
                </c:pt>
                <c:pt idx="11">
                  <c:v>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1E-4CDE-B68F-2503CC3AA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87120"/>
        <c:axId val="405485680"/>
      </c:lineChart>
      <c:catAx>
        <c:axId val="40548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85680"/>
        <c:crosses val="autoZero"/>
        <c:auto val="1"/>
        <c:lblAlgn val="ctr"/>
        <c:lblOffset val="100"/>
        <c:noMultiLvlLbl val="0"/>
      </c:catAx>
      <c:valAx>
        <c:axId val="4054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Sheet4!$A$1:$A$36</c15:sqref>
                  </c15:fullRef>
                </c:ext>
              </c:extLst>
              <c:f>(Sheet4!$A$1,Sheet4!$A$3,Sheet4!$A$5,Sheet4!$A$7,Sheet4!$A$9,Sheet4!$A$11,Sheet4!$A$13,Sheet4!$A$15,Sheet4!$A$17,Sheet4!$A$19,Sheet4!$A$21,Sheet4!$A$23,Sheet4!$A$25,Sheet4!$A$27,Sheet4!$A$29,Sheet4!$A$31,Sheet4!$A$33,Sheet4!$A$35)</c:f>
              <c:numCache>
                <c:formatCode>mmm\-yy</c:formatCode>
                <c:ptCount val="18"/>
                <c:pt idx="0">
                  <c:v>44562</c:v>
                </c:pt>
                <c:pt idx="1">
                  <c:v>44621</c:v>
                </c:pt>
                <c:pt idx="2">
                  <c:v>44682</c:v>
                </c:pt>
                <c:pt idx="3">
                  <c:v>44743</c:v>
                </c:pt>
                <c:pt idx="4">
                  <c:v>44805</c:v>
                </c:pt>
                <c:pt idx="5">
                  <c:v>44866</c:v>
                </c:pt>
                <c:pt idx="6">
                  <c:v>44927</c:v>
                </c:pt>
                <c:pt idx="7">
                  <c:v>44986</c:v>
                </c:pt>
                <c:pt idx="8">
                  <c:v>45047</c:v>
                </c:pt>
                <c:pt idx="9">
                  <c:v>45108</c:v>
                </c:pt>
                <c:pt idx="10">
                  <c:v>45170</c:v>
                </c:pt>
                <c:pt idx="11">
                  <c:v>45231</c:v>
                </c:pt>
                <c:pt idx="12">
                  <c:v>45292</c:v>
                </c:pt>
                <c:pt idx="13">
                  <c:v>45352</c:v>
                </c:pt>
                <c:pt idx="14">
                  <c:v>45413</c:v>
                </c:pt>
                <c:pt idx="15">
                  <c:v>45474</c:v>
                </c:pt>
                <c:pt idx="16">
                  <c:v>45536</c:v>
                </c:pt>
                <c:pt idx="17">
                  <c:v>45597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Sheet4!$B$1:$B$36</c15:sqref>
                  </c15:fullRef>
                </c:ext>
              </c:extLst>
              <c:f>(Sheet4!$B$1,Sheet4!$B$3,Sheet4!$B$5,Sheet4!$B$7,Sheet4!$B$9,Sheet4!$B$11,Sheet4!$B$13,Sheet4!$B$15,Sheet4!$B$17,Sheet4!$B$19,Sheet4!$B$21,Sheet4!$B$23,Sheet4!$B$25,Sheet4!$B$27,Sheet4!$B$29,Sheet4!$B$31,Sheet4!$B$33,Sheet4!$B$35)</c:f>
              <c:numCache>
                <c:formatCode>General</c:formatCode>
                <c:ptCount val="18"/>
                <c:pt idx="0">
                  <c:v>647</c:v>
                </c:pt>
                <c:pt idx="1">
                  <c:v>1065</c:v>
                </c:pt>
                <c:pt idx="2">
                  <c:v>512</c:v>
                </c:pt>
                <c:pt idx="3">
                  <c:v>866</c:v>
                </c:pt>
                <c:pt idx="4">
                  <c:v>556</c:v>
                </c:pt>
                <c:pt idx="5">
                  <c:v>785</c:v>
                </c:pt>
                <c:pt idx="6">
                  <c:v>1228</c:v>
                </c:pt>
                <c:pt idx="7">
                  <c:v>1441</c:v>
                </c:pt>
                <c:pt idx="8">
                  <c:v>1123</c:v>
                </c:pt>
                <c:pt idx="9">
                  <c:v>1152</c:v>
                </c:pt>
                <c:pt idx="10">
                  <c:v>761</c:v>
                </c:pt>
                <c:pt idx="11">
                  <c:v>985</c:v>
                </c:pt>
                <c:pt idx="12">
                  <c:v>1478</c:v>
                </c:pt>
                <c:pt idx="13">
                  <c:v>646</c:v>
                </c:pt>
                <c:pt idx="14">
                  <c:v>1652</c:v>
                </c:pt>
                <c:pt idx="15">
                  <c:v>1659</c:v>
                </c:pt>
                <c:pt idx="16">
                  <c:v>973</c:v>
                </c:pt>
                <c:pt idx="17">
                  <c:v>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6-4202-A0E3-5AD1C3B5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809392"/>
        <c:axId val="423808432"/>
      </c:lineChart>
      <c:dateAx>
        <c:axId val="42380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08432"/>
        <c:crosses val="autoZero"/>
        <c:auto val="1"/>
        <c:lblOffset val="100"/>
        <c:baseTimeUnit val="months"/>
      </c:dateAx>
      <c:valAx>
        <c:axId val="4238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0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Sheet3!$D$24:$D$71</c:f>
              <c:numCache>
                <c:formatCode>General</c:formatCode>
                <c:ptCount val="48"/>
                <c:pt idx="0">
                  <c:v>612</c:v>
                </c:pt>
                <c:pt idx="1">
                  <c:v>589</c:v>
                </c:pt>
                <c:pt idx="2">
                  <c:v>621</c:v>
                </c:pt>
                <c:pt idx="3">
                  <c:v>786</c:v>
                </c:pt>
                <c:pt idx="4">
                  <c:v>741</c:v>
                </c:pt>
                <c:pt idx="5">
                  <c:v>972</c:v>
                </c:pt>
                <c:pt idx="6">
                  <c:v>893</c:v>
                </c:pt>
                <c:pt idx="7">
                  <c:v>1196</c:v>
                </c:pt>
                <c:pt idx="8">
                  <c:v>955</c:v>
                </c:pt>
                <c:pt idx="9">
                  <c:v>979</c:v>
                </c:pt>
                <c:pt idx="10">
                  <c:v>1225</c:v>
                </c:pt>
                <c:pt idx="11">
                  <c:v>1234</c:v>
                </c:pt>
                <c:pt idx="12">
                  <c:v>1112</c:v>
                </c:pt>
                <c:pt idx="13">
                  <c:v>1120</c:v>
                </c:pt>
                <c:pt idx="14">
                  <c:v>1157</c:v>
                </c:pt>
                <c:pt idx="15">
                  <c:v>1506</c:v>
                </c:pt>
                <c:pt idx="16">
                  <c:v>1598</c:v>
                </c:pt>
                <c:pt idx="17">
                  <c:v>1667</c:v>
                </c:pt>
                <c:pt idx="18">
                  <c:v>963</c:v>
                </c:pt>
                <c:pt idx="19">
                  <c:v>1228</c:v>
                </c:pt>
                <c:pt idx="20">
                  <c:v>1043</c:v>
                </c:pt>
                <c:pt idx="21">
                  <c:v>1074</c:v>
                </c:pt>
                <c:pt idx="22">
                  <c:v>1329</c:v>
                </c:pt>
                <c:pt idx="23">
                  <c:v>1462</c:v>
                </c:pt>
                <c:pt idx="24">
                  <c:v>1084</c:v>
                </c:pt>
                <c:pt idx="25">
                  <c:v>1091</c:v>
                </c:pt>
                <c:pt idx="26">
                  <c:v>1136</c:v>
                </c:pt>
                <c:pt idx="27">
                  <c:v>1555</c:v>
                </c:pt>
                <c:pt idx="28">
                  <c:v>1625</c:v>
                </c:pt>
                <c:pt idx="29">
                  <c:v>1724</c:v>
                </c:pt>
                <c:pt idx="30">
                  <c:v>1007</c:v>
                </c:pt>
                <c:pt idx="31">
                  <c:v>1168</c:v>
                </c:pt>
                <c:pt idx="32">
                  <c:v>1037</c:v>
                </c:pt>
                <c:pt idx="33">
                  <c:v>1061</c:v>
                </c:pt>
                <c:pt idx="34">
                  <c:v>1416</c:v>
                </c:pt>
                <c:pt idx="35">
                  <c:v>1529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20-92AB-E13CC7C8D700}"/>
            </c:ext>
          </c:extLst>
        </c:ser>
        <c:ser>
          <c:idx val="1"/>
          <c:order val="1"/>
          <c:tx>
            <c:strRef>
              <c:f>Sheet3!$H$23</c:f>
              <c:strCache>
                <c:ptCount val="1"/>
                <c:pt idx="0">
                  <c:v>Deseasonalize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Sheet3!$H$24:$H$71</c:f>
              <c:numCache>
                <c:formatCode>0.00</c:formatCode>
                <c:ptCount val="48"/>
                <c:pt idx="0">
                  <c:v>719.75876772914376</c:v>
                </c:pt>
                <c:pt idx="1">
                  <c:v>689.06533090253424</c:v>
                </c:pt>
                <c:pt idx="2">
                  <c:v>701.30632998143892</c:v>
                </c:pt>
                <c:pt idx="3">
                  <c:v>667.06309789563045</c:v>
                </c:pt>
                <c:pt idx="4">
                  <c:v>599.92496093789941</c:v>
                </c:pt>
                <c:pt idx="5">
                  <c:v>754.03524109883233</c:v>
                </c:pt>
                <c:pt idx="6">
                  <c:v>1068.3822954514619</c:v>
                </c:pt>
                <c:pt idx="7">
                  <c:v>1118.9991172148066</c:v>
                </c:pt>
                <c:pt idx="8">
                  <c:v>1114.6192826669708</c:v>
                </c:pt>
                <c:pt idx="9">
                  <c:v>1142.8793019773061</c:v>
                </c:pt>
                <c:pt idx="10">
                  <c:v>1186.6447165981733</c:v>
                </c:pt>
                <c:pt idx="11">
                  <c:v>1167.9584926397633</c:v>
                </c:pt>
                <c:pt idx="12">
                  <c:v>1307.7969766581828</c:v>
                </c:pt>
                <c:pt idx="13">
                  <c:v>1310.2770298995558</c:v>
                </c:pt>
                <c:pt idx="14">
                  <c:v>1306.6206502230675</c:v>
                </c:pt>
                <c:pt idx="15">
                  <c:v>1278.1132639068951</c:v>
                </c:pt>
                <c:pt idx="16">
                  <c:v>1293.7653003761986</c:v>
                </c:pt>
                <c:pt idx="17">
                  <c:v>1293.185953612915</c:v>
                </c:pt>
                <c:pt idx="18">
                  <c:v>1152.1300677712852</c:v>
                </c:pt>
                <c:pt idx="19">
                  <c:v>1148.9388929262395</c:v>
                </c:pt>
                <c:pt idx="20">
                  <c:v>1217.3276563577492</c:v>
                </c:pt>
                <c:pt idx="21">
                  <c:v>1253.7817878688729</c:v>
                </c:pt>
                <c:pt idx="22">
                  <c:v>1287.3884313134467</c:v>
                </c:pt>
                <c:pt idx="23">
                  <c:v>1383.7563340675317</c:v>
                </c:pt>
                <c:pt idx="24">
                  <c:v>1274.8668369581565</c:v>
                </c:pt>
                <c:pt idx="25">
                  <c:v>1276.3502139467996</c:v>
                </c:pt>
                <c:pt idx="26">
                  <c:v>1282.9049772285259</c:v>
                </c:pt>
                <c:pt idx="27">
                  <c:v>1319.6986224271061</c:v>
                </c:pt>
                <c:pt idx="28">
                  <c:v>1315.6249143374987</c:v>
                </c:pt>
                <c:pt idx="29">
                  <c:v>1337.4040696032787</c:v>
                </c:pt>
                <c:pt idx="30">
                  <c:v>1204.7715246580315</c:v>
                </c:pt>
                <c:pt idx="31">
                  <c:v>1092.8018134673027</c:v>
                </c:pt>
                <c:pt idx="32">
                  <c:v>1210.3248126970143</c:v>
                </c:pt>
                <c:pt idx="33">
                  <c:v>1238.6056582205531</c:v>
                </c:pt>
                <c:pt idx="34">
                  <c:v>1371.6644234310313</c:v>
                </c:pt>
                <c:pt idx="35">
                  <c:v>1447.1706120309548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20-92AB-E13CC7C8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956575"/>
        <c:axId val="795957535"/>
      </c:lineChart>
      <c:catAx>
        <c:axId val="7959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7535"/>
        <c:crosses val="autoZero"/>
        <c:auto val="1"/>
        <c:lblAlgn val="ctr"/>
        <c:lblOffset val="100"/>
        <c:noMultiLvlLbl val="0"/>
      </c:catAx>
      <c:valAx>
        <c:axId val="7959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ASP763504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Sheet2!$C$2:$C$37</c:f>
              <c:numCache>
                <c:formatCode>General</c:formatCode>
                <c:ptCount val="36"/>
                <c:pt idx="0">
                  <c:v>612</c:v>
                </c:pt>
                <c:pt idx="1">
                  <c:v>589</c:v>
                </c:pt>
                <c:pt idx="2">
                  <c:v>621</c:v>
                </c:pt>
                <c:pt idx="3">
                  <c:v>786</c:v>
                </c:pt>
                <c:pt idx="4">
                  <c:v>741</c:v>
                </c:pt>
                <c:pt idx="5">
                  <c:v>972</c:v>
                </c:pt>
                <c:pt idx="6">
                  <c:v>893</c:v>
                </c:pt>
                <c:pt idx="7">
                  <c:v>1196</c:v>
                </c:pt>
                <c:pt idx="8">
                  <c:v>955</c:v>
                </c:pt>
                <c:pt idx="9">
                  <c:v>979</c:v>
                </c:pt>
                <c:pt idx="10">
                  <c:v>1225</c:v>
                </c:pt>
                <c:pt idx="11">
                  <c:v>1234</c:v>
                </c:pt>
                <c:pt idx="12">
                  <c:v>1112</c:v>
                </c:pt>
                <c:pt idx="13">
                  <c:v>1120</c:v>
                </c:pt>
                <c:pt idx="14">
                  <c:v>1157</c:v>
                </c:pt>
                <c:pt idx="15">
                  <c:v>1506</c:v>
                </c:pt>
                <c:pt idx="16">
                  <c:v>1598</c:v>
                </c:pt>
                <c:pt idx="17">
                  <c:v>1667</c:v>
                </c:pt>
                <c:pt idx="18">
                  <c:v>963</c:v>
                </c:pt>
                <c:pt idx="19">
                  <c:v>1228</c:v>
                </c:pt>
                <c:pt idx="20">
                  <c:v>1043</c:v>
                </c:pt>
                <c:pt idx="21">
                  <c:v>1074</c:v>
                </c:pt>
                <c:pt idx="22">
                  <c:v>1329</c:v>
                </c:pt>
                <c:pt idx="23">
                  <c:v>1462</c:v>
                </c:pt>
                <c:pt idx="24">
                  <c:v>1084</c:v>
                </c:pt>
                <c:pt idx="25">
                  <c:v>1091</c:v>
                </c:pt>
                <c:pt idx="26">
                  <c:v>1136</c:v>
                </c:pt>
                <c:pt idx="27">
                  <c:v>1555</c:v>
                </c:pt>
                <c:pt idx="28">
                  <c:v>1625</c:v>
                </c:pt>
                <c:pt idx="29">
                  <c:v>1724</c:v>
                </c:pt>
                <c:pt idx="30">
                  <c:v>1007</c:v>
                </c:pt>
                <c:pt idx="31">
                  <c:v>1168</c:v>
                </c:pt>
                <c:pt idx="32">
                  <c:v>1037</c:v>
                </c:pt>
                <c:pt idx="33">
                  <c:v>1061</c:v>
                </c:pt>
                <c:pt idx="34">
                  <c:v>1416</c:v>
                </c:pt>
                <c:pt idx="35">
                  <c:v>1529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6-4A58-8512-1D1A989CD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995728"/>
        <c:axId val="1983010128"/>
      </c:lineChart>
      <c:dateAx>
        <c:axId val="1982995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10128"/>
        <c:crosses val="autoZero"/>
        <c:auto val="1"/>
        <c:lblOffset val="100"/>
        <c:baseTimeUnit val="months"/>
      </c:dateAx>
      <c:valAx>
        <c:axId val="19830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99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Sheet2!$C$2:$C$37</c:f>
              <c:numCache>
                <c:formatCode>General</c:formatCode>
                <c:ptCount val="36"/>
                <c:pt idx="0">
                  <c:v>612</c:v>
                </c:pt>
                <c:pt idx="1">
                  <c:v>589</c:v>
                </c:pt>
                <c:pt idx="2">
                  <c:v>621</c:v>
                </c:pt>
                <c:pt idx="3">
                  <c:v>786</c:v>
                </c:pt>
                <c:pt idx="4">
                  <c:v>741</c:v>
                </c:pt>
                <c:pt idx="5">
                  <c:v>972</c:v>
                </c:pt>
                <c:pt idx="6">
                  <c:v>893</c:v>
                </c:pt>
                <c:pt idx="7">
                  <c:v>1196</c:v>
                </c:pt>
                <c:pt idx="8">
                  <c:v>955</c:v>
                </c:pt>
                <c:pt idx="9">
                  <c:v>979</c:v>
                </c:pt>
                <c:pt idx="10">
                  <c:v>1225</c:v>
                </c:pt>
                <c:pt idx="11">
                  <c:v>1234</c:v>
                </c:pt>
                <c:pt idx="12">
                  <c:v>1112</c:v>
                </c:pt>
                <c:pt idx="13">
                  <c:v>1120</c:v>
                </c:pt>
                <c:pt idx="14">
                  <c:v>1157</c:v>
                </c:pt>
                <c:pt idx="15">
                  <c:v>1506</c:v>
                </c:pt>
                <c:pt idx="16">
                  <c:v>1598</c:v>
                </c:pt>
                <c:pt idx="17">
                  <c:v>1667</c:v>
                </c:pt>
                <c:pt idx="18">
                  <c:v>963</c:v>
                </c:pt>
                <c:pt idx="19">
                  <c:v>1228</c:v>
                </c:pt>
                <c:pt idx="20">
                  <c:v>1043</c:v>
                </c:pt>
                <c:pt idx="21">
                  <c:v>1074</c:v>
                </c:pt>
                <c:pt idx="22">
                  <c:v>1329</c:v>
                </c:pt>
                <c:pt idx="23">
                  <c:v>1462</c:v>
                </c:pt>
                <c:pt idx="24">
                  <c:v>1084</c:v>
                </c:pt>
                <c:pt idx="25">
                  <c:v>1091</c:v>
                </c:pt>
                <c:pt idx="26">
                  <c:v>1136</c:v>
                </c:pt>
                <c:pt idx="27">
                  <c:v>1555</c:v>
                </c:pt>
                <c:pt idx="28">
                  <c:v>1625</c:v>
                </c:pt>
                <c:pt idx="29">
                  <c:v>1724</c:v>
                </c:pt>
                <c:pt idx="30">
                  <c:v>1007</c:v>
                </c:pt>
                <c:pt idx="31">
                  <c:v>1168</c:v>
                </c:pt>
                <c:pt idx="32">
                  <c:v>1037</c:v>
                </c:pt>
                <c:pt idx="33">
                  <c:v>1061</c:v>
                </c:pt>
                <c:pt idx="34">
                  <c:v>1416</c:v>
                </c:pt>
                <c:pt idx="35">
                  <c:v>1529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B-4AE2-A1E7-4BAD78083C13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Sheet2!$B$2:$B$37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Sheet2!$J$2:$J$37</c:f>
              <c:numCache>
                <c:formatCode>0.00</c:formatCode>
                <c:ptCount val="36"/>
                <c:pt idx="0">
                  <c:v>744.18463520762145</c:v>
                </c:pt>
                <c:pt idx="1">
                  <c:v>761.72618249784239</c:v>
                </c:pt>
                <c:pt idx="2">
                  <c:v>803.18757997651051</c:v>
                </c:pt>
                <c:pt idx="3">
                  <c:v>1087.5372873849271</c:v>
                </c:pt>
                <c:pt idx="4">
                  <c:v>1159.6741847719459</c:v>
                </c:pt>
                <c:pt idx="5">
                  <c:v>1230.8090198112588</c:v>
                </c:pt>
                <c:pt idx="6">
                  <c:v>811.37465651627554</c:v>
                </c:pt>
                <c:pt idx="7">
                  <c:v>1054.5372251383808</c:v>
                </c:pt>
                <c:pt idx="8">
                  <c:v>858.98990344855599</c:v>
                </c:pt>
                <c:pt idx="9">
                  <c:v>872.43851408886485</c:v>
                </c:pt>
                <c:pt idx="10">
                  <c:v>1067.8322940943774</c:v>
                </c:pt>
                <c:pt idx="11">
                  <c:v>1109.705483686017</c:v>
                </c:pt>
                <c:pt idx="12">
                  <c:v>906.60265252310057</c:v>
                </c:pt>
                <c:pt idx="13">
                  <c:v>925.0030431296741</c:v>
                </c:pt>
                <c:pt idx="14">
                  <c:v>972.33040805156782</c:v>
                </c:pt>
                <c:pt idx="15">
                  <c:v>1312.6113118267508</c:v>
                </c:pt>
                <c:pt idx="16">
                  <c:v>1395.6084519154856</c:v>
                </c:pt>
                <c:pt idx="17">
                  <c:v>1477.0409488779062</c:v>
                </c:pt>
                <c:pt idx="18">
                  <c:v>971.03406750260228</c:v>
                </c:pt>
                <c:pt idx="19">
                  <c:v>1258.697471992396</c:v>
                </c:pt>
                <c:pt idx="20">
                  <c:v>1022.6514180452886</c:v>
                </c:pt>
                <c:pt idx="21">
                  <c:v>1036.0644225084691</c:v>
                </c:pt>
                <c:pt idx="22">
                  <c:v>1265.0224022430125</c:v>
                </c:pt>
                <c:pt idx="23">
                  <c:v>1311.5223680063248</c:v>
                </c:pt>
                <c:pt idx="24">
                  <c:v>1069.0206698385798</c:v>
                </c:pt>
                <c:pt idx="25">
                  <c:v>1088.2799037615055</c:v>
                </c:pt>
                <c:pt idx="26">
                  <c:v>1141.4732361266254</c:v>
                </c:pt>
                <c:pt idx="27">
                  <c:v>1537.6853362685752</c:v>
                </c:pt>
                <c:pt idx="28">
                  <c:v>1631.5427190590253</c:v>
                </c:pt>
                <c:pt idx="29">
                  <c:v>1723.2728779445533</c:v>
                </c:pt>
                <c:pt idx="30">
                  <c:v>1130.6934784889286</c:v>
                </c:pt>
                <c:pt idx="31">
                  <c:v>1462.8577188464112</c:v>
                </c:pt>
                <c:pt idx="32">
                  <c:v>1186.3129326420212</c:v>
                </c:pt>
                <c:pt idx="33">
                  <c:v>1199.6903309280735</c:v>
                </c:pt>
                <c:pt idx="34">
                  <c:v>1462.2125103916471</c:v>
                </c:pt>
                <c:pt idx="35">
                  <c:v>1513.3392523266323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B-4AE2-A1E7-4BAD78083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854176"/>
        <c:axId val="1954853216"/>
      </c:lineChart>
      <c:dateAx>
        <c:axId val="1954854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53216"/>
        <c:crosses val="autoZero"/>
        <c:auto val="1"/>
        <c:lblOffset val="100"/>
        <c:baseTimeUnit val="months"/>
      </c:dateAx>
      <c:valAx>
        <c:axId val="195485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5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15240</xdr:rowOff>
    </xdr:from>
    <xdr:to>
      <xdr:col>17</xdr:col>
      <xdr:colOff>22860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F0DDC-7940-F10B-A8B1-5083B600C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12</xdr:row>
      <xdr:rowOff>76200</xdr:rowOff>
    </xdr:from>
    <xdr:to>
      <xdr:col>18</xdr:col>
      <xdr:colOff>53340</xdr:colOff>
      <xdr:row>31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0B20E-D217-B0EE-7C77-7D4E60C80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71</xdr:row>
      <xdr:rowOff>60960</xdr:rowOff>
    </xdr:from>
    <xdr:to>
      <xdr:col>7</xdr:col>
      <xdr:colOff>525780</xdr:colOff>
      <xdr:row>87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F3C54-CA54-74D3-72C5-EEE59B998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289560</xdr:colOff>
      <xdr:row>16</xdr:row>
      <xdr:rowOff>171450</xdr:rowOff>
    </xdr:from>
    <xdr:to>
      <xdr:col>18</xdr:col>
      <xdr:colOff>594360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360E5-478E-9855-EF6C-02E16DF3A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396240</xdr:colOff>
      <xdr:row>18</xdr:row>
      <xdr:rowOff>41910</xdr:rowOff>
    </xdr:from>
    <xdr:to>
      <xdr:col>13</xdr:col>
      <xdr:colOff>91440</xdr:colOff>
      <xdr:row>33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B101D3-104C-E7E9-1B30-59FB1164D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BF33-2228-4F14-9B2C-0ADA393EC84E}">
  <dimension ref="A1:D14"/>
  <sheetViews>
    <sheetView workbookViewId="0">
      <selection activeCell="E16" sqref="E16"/>
    </sheetView>
  </sheetViews>
  <sheetFormatPr defaultRowHeight="14.4" x14ac:dyDescent="0.3"/>
  <sheetData>
    <row r="1" spans="1:4" x14ac:dyDescent="0.3">
      <c r="B1" t="s">
        <v>1</v>
      </c>
    </row>
    <row r="2" spans="1:4" x14ac:dyDescent="0.3">
      <c r="A2" t="s">
        <v>0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612</v>
      </c>
      <c r="C3">
        <v>1112</v>
      </c>
      <c r="D3">
        <v>1084</v>
      </c>
    </row>
    <row r="4" spans="1:4" x14ac:dyDescent="0.3">
      <c r="A4" t="s">
        <v>7</v>
      </c>
      <c r="B4">
        <v>589</v>
      </c>
      <c r="C4">
        <v>1120</v>
      </c>
      <c r="D4">
        <v>1091</v>
      </c>
    </row>
    <row r="5" spans="1:4" x14ac:dyDescent="0.3">
      <c r="A5" t="s">
        <v>8</v>
      </c>
      <c r="B5">
        <v>621</v>
      </c>
      <c r="C5">
        <v>1157</v>
      </c>
      <c r="D5">
        <v>1136</v>
      </c>
    </row>
    <row r="6" spans="1:4" x14ac:dyDescent="0.3">
      <c r="A6" t="s">
        <v>9</v>
      </c>
      <c r="B6">
        <v>786</v>
      </c>
      <c r="C6">
        <v>1506</v>
      </c>
      <c r="D6">
        <v>1555</v>
      </c>
    </row>
    <row r="7" spans="1:4" x14ac:dyDescent="0.3">
      <c r="A7" t="s">
        <v>10</v>
      </c>
      <c r="B7">
        <v>741</v>
      </c>
      <c r="C7">
        <v>1598</v>
      </c>
      <c r="D7">
        <v>1625</v>
      </c>
    </row>
    <row r="8" spans="1:4" x14ac:dyDescent="0.3">
      <c r="A8" t="s">
        <v>11</v>
      </c>
      <c r="B8">
        <v>972</v>
      </c>
      <c r="C8">
        <v>1667</v>
      </c>
      <c r="D8">
        <v>1724</v>
      </c>
    </row>
    <row r="9" spans="1:4" x14ac:dyDescent="0.3">
      <c r="A9" t="s">
        <v>12</v>
      </c>
      <c r="B9">
        <v>893</v>
      </c>
      <c r="C9">
        <v>963</v>
      </c>
      <c r="D9">
        <v>1007</v>
      </c>
    </row>
    <row r="10" spans="1:4" x14ac:dyDescent="0.3">
      <c r="A10" t="s">
        <v>13</v>
      </c>
      <c r="B10">
        <v>1196</v>
      </c>
      <c r="C10">
        <v>1228</v>
      </c>
      <c r="D10">
        <v>1168</v>
      </c>
    </row>
    <row r="11" spans="1:4" x14ac:dyDescent="0.3">
      <c r="A11" t="s">
        <v>14</v>
      </c>
      <c r="B11">
        <v>955</v>
      </c>
      <c r="C11">
        <v>1043</v>
      </c>
      <c r="D11">
        <v>1037</v>
      </c>
    </row>
    <row r="12" spans="1:4" x14ac:dyDescent="0.3">
      <c r="A12" t="s">
        <v>15</v>
      </c>
      <c r="B12">
        <v>979</v>
      </c>
      <c r="C12">
        <v>1074</v>
      </c>
      <c r="D12">
        <v>1061</v>
      </c>
    </row>
    <row r="13" spans="1:4" x14ac:dyDescent="0.3">
      <c r="A13" t="s">
        <v>16</v>
      </c>
      <c r="B13">
        <v>1225</v>
      </c>
      <c r="C13">
        <v>1329</v>
      </c>
      <c r="D13">
        <v>1416</v>
      </c>
    </row>
    <row r="14" spans="1:4" x14ac:dyDescent="0.3">
      <c r="A14" t="s">
        <v>6</v>
      </c>
      <c r="B14">
        <v>1234</v>
      </c>
      <c r="C14">
        <v>1462</v>
      </c>
      <c r="D14">
        <v>1629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5AC4-CBF4-4777-A076-C19A7895DFD5}">
  <dimension ref="A1:B36"/>
  <sheetViews>
    <sheetView workbookViewId="0">
      <selection activeCell="B26" sqref="B26"/>
    </sheetView>
  </sheetViews>
  <sheetFormatPr defaultRowHeight="14.4" x14ac:dyDescent="0.3"/>
  <sheetData>
    <row r="1" spans="1:2" x14ac:dyDescent="0.3">
      <c r="A1" s="1">
        <v>44562</v>
      </c>
      <c r="B1">
        <v>647</v>
      </c>
    </row>
    <row r="2" spans="1:2" x14ac:dyDescent="0.3">
      <c r="A2" s="1">
        <v>44593</v>
      </c>
      <c r="B2">
        <v>785</v>
      </c>
    </row>
    <row r="3" spans="1:2" x14ac:dyDescent="0.3">
      <c r="A3" s="1">
        <v>44621</v>
      </c>
      <c r="B3">
        <v>1065</v>
      </c>
    </row>
    <row r="4" spans="1:2" x14ac:dyDescent="0.3">
      <c r="A4" s="1">
        <v>44652</v>
      </c>
      <c r="B4">
        <v>608</v>
      </c>
    </row>
    <row r="5" spans="1:2" x14ac:dyDescent="0.3">
      <c r="A5" s="1">
        <v>44682</v>
      </c>
      <c r="B5">
        <v>512</v>
      </c>
    </row>
    <row r="6" spans="1:2" x14ac:dyDescent="0.3">
      <c r="A6" s="1">
        <v>44713</v>
      </c>
      <c r="B6">
        <v>702</v>
      </c>
    </row>
    <row r="7" spans="1:2" x14ac:dyDescent="0.3">
      <c r="A7" s="1">
        <v>44743</v>
      </c>
      <c r="B7">
        <v>866</v>
      </c>
    </row>
    <row r="8" spans="1:2" x14ac:dyDescent="0.3">
      <c r="A8" s="1">
        <v>44774</v>
      </c>
      <c r="B8">
        <v>693</v>
      </c>
    </row>
    <row r="9" spans="1:2" x14ac:dyDescent="0.3">
      <c r="A9" s="1">
        <v>44805</v>
      </c>
      <c r="B9">
        <v>556</v>
      </c>
    </row>
    <row r="10" spans="1:2" x14ac:dyDescent="0.3">
      <c r="A10" s="1">
        <v>44835</v>
      </c>
      <c r="B10">
        <v>971</v>
      </c>
    </row>
    <row r="11" spans="1:2" x14ac:dyDescent="0.3">
      <c r="A11" s="1">
        <v>44866</v>
      </c>
      <c r="B11">
        <v>785</v>
      </c>
    </row>
    <row r="12" spans="1:2" x14ac:dyDescent="0.3">
      <c r="A12" s="1">
        <v>44896</v>
      </c>
      <c r="B12">
        <v>456</v>
      </c>
    </row>
    <row r="13" spans="1:2" x14ac:dyDescent="0.3">
      <c r="A13" s="1">
        <v>44927</v>
      </c>
      <c r="B13">
        <v>1228</v>
      </c>
    </row>
    <row r="14" spans="1:2" x14ac:dyDescent="0.3">
      <c r="A14" s="1">
        <v>44958</v>
      </c>
      <c r="B14">
        <v>665</v>
      </c>
    </row>
    <row r="15" spans="1:2" x14ac:dyDescent="0.3">
      <c r="A15" s="1">
        <v>44986</v>
      </c>
      <c r="B15">
        <v>1441</v>
      </c>
    </row>
    <row r="16" spans="1:2" x14ac:dyDescent="0.3">
      <c r="A16" s="1">
        <v>45017</v>
      </c>
      <c r="B16">
        <v>1459</v>
      </c>
    </row>
    <row r="17" spans="1:2" x14ac:dyDescent="0.3">
      <c r="A17" s="1">
        <v>45047</v>
      </c>
      <c r="B17">
        <v>1123</v>
      </c>
    </row>
    <row r="18" spans="1:2" x14ac:dyDescent="0.3">
      <c r="A18" s="1">
        <v>45078</v>
      </c>
      <c r="B18">
        <v>851</v>
      </c>
    </row>
    <row r="19" spans="1:2" x14ac:dyDescent="0.3">
      <c r="A19" s="1">
        <v>45108</v>
      </c>
      <c r="B19">
        <v>1152</v>
      </c>
    </row>
    <row r="20" spans="1:2" x14ac:dyDescent="0.3">
      <c r="A20" s="1">
        <v>45139</v>
      </c>
      <c r="B20">
        <v>1236</v>
      </c>
    </row>
    <row r="21" spans="1:2" x14ac:dyDescent="0.3">
      <c r="A21" s="1">
        <v>45170</v>
      </c>
      <c r="B21">
        <v>761</v>
      </c>
    </row>
    <row r="22" spans="1:2" x14ac:dyDescent="0.3">
      <c r="A22" s="1">
        <v>45200</v>
      </c>
      <c r="B22">
        <v>695</v>
      </c>
    </row>
    <row r="23" spans="1:2" x14ac:dyDescent="0.3">
      <c r="A23" s="1">
        <v>45231</v>
      </c>
      <c r="B23">
        <v>985</v>
      </c>
    </row>
    <row r="24" spans="1:2" x14ac:dyDescent="0.3">
      <c r="A24" s="1">
        <v>45261</v>
      </c>
      <c r="B24">
        <v>745</v>
      </c>
    </row>
    <row r="25" spans="1:2" x14ac:dyDescent="0.3">
      <c r="A25" s="1">
        <v>45292</v>
      </c>
      <c r="B25">
        <v>1478</v>
      </c>
    </row>
    <row r="26" spans="1:2" x14ac:dyDescent="0.3">
      <c r="A26" s="1">
        <v>45323</v>
      </c>
      <c r="B26">
        <v>1002</v>
      </c>
    </row>
    <row r="27" spans="1:2" x14ac:dyDescent="0.3">
      <c r="A27" s="1">
        <v>45352</v>
      </c>
      <c r="B27">
        <v>646</v>
      </c>
    </row>
    <row r="28" spans="1:2" x14ac:dyDescent="0.3">
      <c r="A28" s="1">
        <v>45383</v>
      </c>
      <c r="B28">
        <v>2041</v>
      </c>
    </row>
    <row r="29" spans="1:2" x14ac:dyDescent="0.3">
      <c r="A29" s="1">
        <v>45413</v>
      </c>
      <c r="B29">
        <v>1652</v>
      </c>
    </row>
    <row r="30" spans="1:2" x14ac:dyDescent="0.3">
      <c r="A30" s="1">
        <v>45444</v>
      </c>
      <c r="B30">
        <v>896</v>
      </c>
    </row>
    <row r="31" spans="1:2" x14ac:dyDescent="0.3">
      <c r="A31" s="1">
        <v>45474</v>
      </c>
      <c r="B31">
        <v>1659</v>
      </c>
    </row>
    <row r="32" spans="1:2" x14ac:dyDescent="0.3">
      <c r="A32" s="1">
        <v>45505</v>
      </c>
      <c r="B32">
        <v>1498</v>
      </c>
    </row>
    <row r="33" spans="1:2" x14ac:dyDescent="0.3">
      <c r="A33" s="1">
        <v>45536</v>
      </c>
      <c r="B33">
        <v>973</v>
      </c>
    </row>
    <row r="34" spans="1:2" x14ac:dyDescent="0.3">
      <c r="A34" s="1">
        <v>45566</v>
      </c>
      <c r="B34">
        <v>1269</v>
      </c>
    </row>
    <row r="35" spans="1:2" x14ac:dyDescent="0.3">
      <c r="A35" s="1">
        <v>45597</v>
      </c>
      <c r="B35">
        <v>1145</v>
      </c>
    </row>
    <row r="36" spans="1:2" x14ac:dyDescent="0.3">
      <c r="A36" s="1">
        <v>45627</v>
      </c>
      <c r="B36">
        <v>1365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AA57-5827-4227-8AAD-C5885EB2C271}">
  <dimension ref="A1:AC72"/>
  <sheetViews>
    <sheetView tabSelected="1" topLeftCell="A49" zoomScaleNormal="100" workbookViewId="0">
      <selection activeCell="B23" sqref="B23:K59"/>
    </sheetView>
  </sheetViews>
  <sheetFormatPr defaultRowHeight="14.4" x14ac:dyDescent="0.3"/>
  <cols>
    <col min="1" max="1" width="9.6640625" bestFit="1" customWidth="1"/>
    <col min="2" max="2" width="9.6640625" customWidth="1"/>
    <col min="3" max="3" width="11.109375" bestFit="1" customWidth="1"/>
    <col min="4" max="4" width="12.44140625" bestFit="1" customWidth="1"/>
    <col min="5" max="5" width="7.5546875" bestFit="1" customWidth="1"/>
    <col min="6" max="6" width="10" bestFit="1" customWidth="1"/>
    <col min="7" max="7" width="10.5546875" bestFit="1" customWidth="1"/>
    <col min="8" max="8" width="12.6640625" bestFit="1" customWidth="1"/>
    <col min="9" max="9" width="14.44140625" bestFit="1" customWidth="1"/>
    <col min="10" max="11" width="7.6640625" bestFit="1" customWidth="1"/>
    <col min="13" max="13" width="22.5546875" style="2" bestFit="1" customWidth="1"/>
    <col min="14" max="14" width="12" bestFit="1" customWidth="1"/>
    <col min="15" max="15" width="12.6640625" bestFit="1" customWidth="1"/>
    <col min="16" max="16" width="12" bestFit="1" customWidth="1"/>
    <col min="17" max="17" width="7.5546875" bestFit="1" customWidth="1"/>
    <col min="18" max="18" width="11.109375" bestFit="1" customWidth="1"/>
    <col min="19" max="19" width="12" bestFit="1" customWidth="1"/>
    <col min="20" max="20" width="8.5546875" bestFit="1" customWidth="1"/>
    <col min="21" max="21" width="10.5546875" bestFit="1" customWidth="1"/>
    <col min="22" max="22" width="9.77734375" bestFit="1" customWidth="1"/>
    <col min="23" max="23" width="7" bestFit="1" customWidth="1"/>
    <col min="24" max="24" width="12.6640625" style="3" bestFit="1" customWidth="1"/>
    <col min="25" max="25" width="13.6640625" style="3" bestFit="1" customWidth="1"/>
    <col min="26" max="26" width="9" style="3" bestFit="1" customWidth="1"/>
    <col min="27" max="27" width="12" style="3" bestFit="1" customWidth="1"/>
    <col min="28" max="28" width="12.6640625" style="3" bestFit="1" customWidth="1"/>
    <col min="29" max="29" width="12" style="7" bestFit="1" customWidth="1"/>
  </cols>
  <sheetData>
    <row r="1" spans="1:29" x14ac:dyDescent="0.3">
      <c r="B1" t="s">
        <v>1</v>
      </c>
      <c r="F1" s="2"/>
      <c r="H1" s="2" t="s">
        <v>40</v>
      </c>
      <c r="K1" s="2" t="s">
        <v>41</v>
      </c>
      <c r="M1" s="2" t="s">
        <v>42</v>
      </c>
      <c r="N1" s="2" t="s">
        <v>43</v>
      </c>
    </row>
    <row r="2" spans="1:29" x14ac:dyDescent="0.3">
      <c r="A2" t="s">
        <v>0</v>
      </c>
      <c r="B2" t="s">
        <v>2</v>
      </c>
      <c r="C2" t="s">
        <v>3</v>
      </c>
      <c r="D2" t="s">
        <v>4</v>
      </c>
      <c r="F2" s="2" t="s">
        <v>34</v>
      </c>
      <c r="G2" t="s">
        <v>2</v>
      </c>
      <c r="H2" t="s">
        <v>3</v>
      </c>
      <c r="I2" t="s">
        <v>4</v>
      </c>
      <c r="J2" s="2"/>
      <c r="K2" s="2"/>
      <c r="M2"/>
    </row>
    <row r="3" spans="1:29" x14ac:dyDescent="0.3">
      <c r="A3" t="s">
        <v>5</v>
      </c>
      <c r="C3">
        <v>1112</v>
      </c>
      <c r="D3">
        <v>1084</v>
      </c>
      <c r="F3" s="2" t="s">
        <v>23</v>
      </c>
      <c r="H3" s="3">
        <v>1223.0833333333335</v>
      </c>
      <c r="I3" s="3">
        <v>1278</v>
      </c>
      <c r="J3" s="4"/>
      <c r="K3" s="4">
        <f>100*C3/H3</f>
        <v>90.91776248552155</v>
      </c>
      <c r="L3">
        <f>100*D3/I3</f>
        <v>84.820031298904539</v>
      </c>
      <c r="M3" s="4">
        <f>AVERAGE(J3:L3)</f>
        <v>87.868896892213044</v>
      </c>
      <c r="N3">
        <f t="shared" ref="N3:N14" si="0">M3*($L$15/$M$15)</f>
        <v>85.02848835462953</v>
      </c>
      <c r="P3">
        <v>85.02848835462953</v>
      </c>
      <c r="AC3" s="8"/>
    </row>
    <row r="4" spans="1:29" x14ac:dyDescent="0.3">
      <c r="A4" t="s">
        <v>7</v>
      </c>
      <c r="C4">
        <v>1120</v>
      </c>
      <c r="D4">
        <v>1091</v>
      </c>
      <c r="F4" s="2" t="s">
        <v>7</v>
      </c>
      <c r="H4" s="3">
        <v>1227.3333333333335</v>
      </c>
      <c r="I4" s="3">
        <v>1277.3333333333333</v>
      </c>
      <c r="J4" s="4"/>
      <c r="K4" s="4">
        <f t="shared" ref="K4:K14" si="1">100*C4/H4</f>
        <v>91.254752851711018</v>
      </c>
      <c r="L4">
        <f t="shared" ref="L4:L8" si="2">100*D4/I4</f>
        <v>85.412317327766189</v>
      </c>
      <c r="M4" s="4">
        <f t="shared" ref="M4:M14" si="3">AVERAGE(J4:L4)</f>
        <v>88.333535089738604</v>
      </c>
      <c r="N4">
        <f t="shared" si="0"/>
        <v>85.478106876822665</v>
      </c>
      <c r="P4">
        <v>85.478106876822665</v>
      </c>
      <c r="AC4" s="8"/>
    </row>
    <row r="5" spans="1:29" x14ac:dyDescent="0.3">
      <c r="A5" t="s">
        <v>8</v>
      </c>
      <c r="C5">
        <v>1157</v>
      </c>
      <c r="D5">
        <v>1136</v>
      </c>
      <c r="F5" s="2" t="s">
        <v>24</v>
      </c>
      <c r="H5" s="3">
        <v>1232.3333333333335</v>
      </c>
      <c r="I5" s="3">
        <v>1274.5833333333333</v>
      </c>
      <c r="J5" s="4"/>
      <c r="K5" s="4">
        <f t="shared" si="1"/>
        <v>93.8869353529889</v>
      </c>
      <c r="L5">
        <f t="shared" si="2"/>
        <v>89.127165740438059</v>
      </c>
      <c r="M5" s="4">
        <f t="shared" si="3"/>
        <v>91.507050546713486</v>
      </c>
      <c r="N5">
        <f t="shared" si="0"/>
        <v>88.549036769201223</v>
      </c>
      <c r="P5">
        <v>88.549036769201223</v>
      </c>
      <c r="AC5" s="8"/>
    </row>
    <row r="6" spans="1:29" x14ac:dyDescent="0.3">
      <c r="A6" t="s">
        <v>9</v>
      </c>
      <c r="C6">
        <v>1506</v>
      </c>
      <c r="D6">
        <v>1555</v>
      </c>
      <c r="F6" s="2" t="s">
        <v>25</v>
      </c>
      <c r="H6" s="3">
        <v>1239.9583333333335</v>
      </c>
      <c r="I6" s="3">
        <v>1273.7916666666665</v>
      </c>
      <c r="J6" s="4"/>
      <c r="K6" s="4">
        <f t="shared" si="1"/>
        <v>121.45569407574177</v>
      </c>
      <c r="L6">
        <f t="shared" si="2"/>
        <v>122.07647770763143</v>
      </c>
      <c r="M6" s="4">
        <f t="shared" si="3"/>
        <v>121.7660858916866</v>
      </c>
      <c r="N6">
        <f t="shared" si="0"/>
        <v>117.82993280239563</v>
      </c>
      <c r="P6">
        <v>117.82993280239563</v>
      </c>
      <c r="AC6" s="8"/>
    </row>
    <row r="7" spans="1:29" x14ac:dyDescent="0.3">
      <c r="A7" t="s">
        <v>10</v>
      </c>
      <c r="C7">
        <v>1598</v>
      </c>
      <c r="D7">
        <v>1625</v>
      </c>
      <c r="F7" s="2" t="s">
        <v>26</v>
      </c>
      <c r="H7" s="3">
        <v>1248.25</v>
      </c>
      <c r="I7" s="3">
        <v>1276.875</v>
      </c>
      <c r="J7" s="4"/>
      <c r="K7" s="4">
        <f t="shared" si="1"/>
        <v>128.01922691768476</v>
      </c>
      <c r="L7">
        <f t="shared" si="2"/>
        <v>127.26382770435634</v>
      </c>
      <c r="M7" s="4">
        <f t="shared" si="3"/>
        <v>127.64152731102055</v>
      </c>
      <c r="N7">
        <f t="shared" si="0"/>
        <v>123.51544747222208</v>
      </c>
      <c r="P7">
        <v>123.51544747222208</v>
      </c>
      <c r="AC7" s="8"/>
    </row>
    <row r="8" spans="1:29" x14ac:dyDescent="0.3">
      <c r="A8" t="s">
        <v>11</v>
      </c>
      <c r="C8">
        <v>1667</v>
      </c>
      <c r="D8">
        <v>1724</v>
      </c>
      <c r="F8" s="2" t="s">
        <v>27</v>
      </c>
      <c r="H8" s="3">
        <v>1262.0833333333333</v>
      </c>
      <c r="I8" s="3">
        <v>1283.2916666666665</v>
      </c>
      <c r="J8" s="4"/>
      <c r="K8" s="4">
        <f t="shared" si="1"/>
        <v>132.08319577418291</v>
      </c>
      <c r="L8">
        <f t="shared" si="2"/>
        <v>134.34202409169131</v>
      </c>
      <c r="M8" s="4">
        <f t="shared" si="3"/>
        <v>133.21260993293711</v>
      </c>
      <c r="N8">
        <f t="shared" si="0"/>
        <v>128.90644190363494</v>
      </c>
      <c r="P8">
        <v>128.90644190363494</v>
      </c>
      <c r="AC8" s="8"/>
    </row>
    <row r="9" spans="1:29" x14ac:dyDescent="0.3">
      <c r="A9" t="s">
        <v>12</v>
      </c>
      <c r="B9">
        <v>893</v>
      </c>
      <c r="C9">
        <v>963</v>
      </c>
      <c r="F9" s="2" t="s">
        <v>28</v>
      </c>
      <c r="G9" s="3">
        <v>921.08333333333326</v>
      </c>
      <c r="H9" s="3">
        <v>1270.4166666666665</v>
      </c>
      <c r="J9" s="4">
        <f>100*B9/G9</f>
        <v>96.951054012485301</v>
      </c>
      <c r="K9" s="4">
        <f t="shared" si="1"/>
        <v>75.801902263037064</v>
      </c>
      <c r="M9" s="4">
        <f t="shared" si="3"/>
        <v>86.376478137761183</v>
      </c>
      <c r="N9">
        <f t="shared" si="0"/>
        <v>83.584312825274651</v>
      </c>
      <c r="P9">
        <v>83.584312825274651</v>
      </c>
      <c r="AC9" s="8"/>
    </row>
    <row r="10" spans="1:29" x14ac:dyDescent="0.3">
      <c r="A10" t="s">
        <v>13</v>
      </c>
      <c r="B10">
        <v>1196</v>
      </c>
      <c r="C10">
        <v>1228</v>
      </c>
      <c r="F10" s="2" t="s">
        <v>29</v>
      </c>
      <c r="G10" s="3">
        <v>964.04166666666663</v>
      </c>
      <c r="H10" s="3">
        <v>1268.0416666666665</v>
      </c>
      <c r="J10" s="4">
        <f t="shared" ref="J10:J14" si="4">100*B10/G10</f>
        <v>124.06102779098414</v>
      </c>
      <c r="K10" s="4">
        <f t="shared" si="1"/>
        <v>96.842243617126158</v>
      </c>
      <c r="M10" s="4">
        <f t="shared" si="3"/>
        <v>110.45163570405515</v>
      </c>
      <c r="N10">
        <f t="shared" si="0"/>
        <v>106.88122819764585</v>
      </c>
      <c r="P10">
        <v>106.88122819764585</v>
      </c>
      <c r="AC10" s="8"/>
    </row>
    <row r="11" spans="1:29" x14ac:dyDescent="0.3">
      <c r="A11" t="s">
        <v>14</v>
      </c>
      <c r="B11">
        <v>955</v>
      </c>
      <c r="C11">
        <v>1043</v>
      </c>
      <c r="F11" s="2" t="s">
        <v>30</v>
      </c>
      <c r="G11" s="3">
        <v>1008.5</v>
      </c>
      <c r="H11" s="3">
        <v>1265.9583333333333</v>
      </c>
      <c r="J11" s="4">
        <f t="shared" si="4"/>
        <v>94.695091720376794</v>
      </c>
      <c r="K11" s="4">
        <f t="shared" si="1"/>
        <v>82.388177599315412</v>
      </c>
      <c r="M11" s="4">
        <f t="shared" si="3"/>
        <v>88.541634659846096</v>
      </c>
      <c r="N11">
        <f t="shared" si="0"/>
        <v>85.679479518329643</v>
      </c>
      <c r="P11">
        <v>85.679479518329643</v>
      </c>
      <c r="AC11" s="8"/>
    </row>
    <row r="12" spans="1:29" x14ac:dyDescent="0.3">
      <c r="A12" t="s">
        <v>15</v>
      </c>
      <c r="B12">
        <v>979</v>
      </c>
      <c r="C12">
        <v>1074</v>
      </c>
      <c r="F12" s="2" t="s">
        <v>31</v>
      </c>
      <c r="G12" s="3">
        <v>1060.8333333333333</v>
      </c>
      <c r="H12" s="3">
        <v>1267.125</v>
      </c>
      <c r="J12" s="4">
        <f t="shared" si="4"/>
        <v>92.285938727415555</v>
      </c>
      <c r="K12" s="4">
        <f t="shared" si="1"/>
        <v>84.758804379994075</v>
      </c>
      <c r="M12" s="4">
        <f t="shared" si="3"/>
        <v>88.522371553704815</v>
      </c>
      <c r="N12">
        <f t="shared" si="0"/>
        <v>85.660839102276427</v>
      </c>
      <c r="P12">
        <v>85.660839102276427</v>
      </c>
      <c r="AC12" s="8"/>
    </row>
    <row r="13" spans="1:29" x14ac:dyDescent="0.3">
      <c r="A13" t="s">
        <v>16</v>
      </c>
      <c r="B13">
        <v>1225</v>
      </c>
      <c r="C13">
        <v>1329</v>
      </c>
      <c r="F13" s="2" t="s">
        <v>32</v>
      </c>
      <c r="G13" s="3">
        <v>1126.5416666666665</v>
      </c>
      <c r="H13" s="3">
        <v>1270.2916666666667</v>
      </c>
      <c r="J13" s="4">
        <f t="shared" si="4"/>
        <v>108.73987498613013</v>
      </c>
      <c r="K13" s="4">
        <f t="shared" si="1"/>
        <v>104.6216420113491</v>
      </c>
      <c r="M13" s="4">
        <f t="shared" si="3"/>
        <v>106.68075849873961</v>
      </c>
      <c r="N13">
        <f t="shared" si="0"/>
        <v>103.23224659119387</v>
      </c>
      <c r="P13">
        <v>103.23224659119387</v>
      </c>
      <c r="AC13" s="8"/>
    </row>
    <row r="14" spans="1:29" x14ac:dyDescent="0.3">
      <c r="A14" t="s">
        <v>6</v>
      </c>
      <c r="B14">
        <v>1234</v>
      </c>
      <c r="C14">
        <v>1462</v>
      </c>
      <c r="F14" s="2" t="s">
        <v>33</v>
      </c>
      <c r="G14" s="3">
        <v>1191.2083333333335</v>
      </c>
      <c r="H14" s="3">
        <v>1273.7916666666667</v>
      </c>
      <c r="J14" s="4">
        <f t="shared" si="4"/>
        <v>103.59229074119415</v>
      </c>
      <c r="K14" s="4">
        <f t="shared" si="1"/>
        <v>114.77544077720715</v>
      </c>
      <c r="M14" s="4">
        <f t="shared" si="3"/>
        <v>109.18386575920064</v>
      </c>
      <c r="N14">
        <f t="shared" si="0"/>
        <v>105.65443958637373</v>
      </c>
      <c r="P14">
        <v>105.65443958637373</v>
      </c>
      <c r="AC14" s="8"/>
    </row>
    <row r="15" spans="1:29" x14ac:dyDescent="0.3">
      <c r="A15" s="3"/>
      <c r="B15" s="3"/>
      <c r="C15" s="3"/>
      <c r="F15" s="2" t="s">
        <v>35</v>
      </c>
      <c r="J15" s="5"/>
      <c r="K15" s="5"/>
      <c r="L15">
        <v>1200</v>
      </c>
      <c r="M15" s="5">
        <f>SUM(M3:M14)</f>
        <v>1240.0864499776167</v>
      </c>
      <c r="AC15" s="8"/>
    </row>
    <row r="16" spans="1:29" x14ac:dyDescent="0.3">
      <c r="A16" s="3"/>
      <c r="B16" s="3"/>
      <c r="C16" s="3"/>
      <c r="F16" s="2"/>
      <c r="M16"/>
      <c r="AC16" s="8"/>
    </row>
    <row r="17" spans="1:29" x14ac:dyDescent="0.3">
      <c r="G17" s="3"/>
      <c r="H17" s="3"/>
      <c r="I17" s="3"/>
      <c r="J17" s="3"/>
      <c r="AC17" s="8"/>
    </row>
    <row r="18" spans="1:29" x14ac:dyDescent="0.3">
      <c r="G18" s="3"/>
      <c r="H18" s="3"/>
      <c r="I18" s="3"/>
      <c r="J18" s="3"/>
      <c r="AC18" s="8"/>
    </row>
    <row r="19" spans="1:29" x14ac:dyDescent="0.3">
      <c r="G19" s="3"/>
      <c r="H19" s="3"/>
      <c r="I19" s="3"/>
      <c r="J19" s="3"/>
      <c r="AC19" s="8"/>
    </row>
    <row r="20" spans="1:29" x14ac:dyDescent="0.3">
      <c r="G20" s="3"/>
      <c r="H20" s="3"/>
      <c r="I20" s="3"/>
      <c r="J20" s="3"/>
      <c r="AC20" s="8"/>
    </row>
    <row r="21" spans="1:29" x14ac:dyDescent="0.3">
      <c r="G21" s="3"/>
      <c r="H21" s="3"/>
      <c r="I21" s="3"/>
      <c r="J21" s="3"/>
      <c r="AC21" s="8"/>
    </row>
    <row r="22" spans="1:29" x14ac:dyDescent="0.3">
      <c r="G22" s="3"/>
      <c r="H22" s="3"/>
      <c r="I22" s="3"/>
      <c r="J22" s="3"/>
      <c r="AC22" s="8"/>
    </row>
    <row r="23" spans="1:29" s="2" customFormat="1" x14ac:dyDescent="0.3">
      <c r="A23" s="2" t="s">
        <v>19</v>
      </c>
      <c r="B23" s="2" t="s">
        <v>45</v>
      </c>
      <c r="C23" s="2" t="s">
        <v>18</v>
      </c>
      <c r="D23" s="2" t="s">
        <v>17</v>
      </c>
      <c r="E23" s="2" t="s">
        <v>37</v>
      </c>
      <c r="F23" s="2" t="s">
        <v>38</v>
      </c>
      <c r="G23" s="6" t="s">
        <v>43</v>
      </c>
      <c r="H23" s="6" t="s">
        <v>44</v>
      </c>
      <c r="I23" s="6" t="s">
        <v>36</v>
      </c>
      <c r="J23" s="6" t="s">
        <v>46</v>
      </c>
      <c r="K23" s="2" t="s">
        <v>47</v>
      </c>
      <c r="X23" s="6"/>
      <c r="Y23" s="6"/>
      <c r="Z23" s="6"/>
      <c r="AA23" s="6"/>
      <c r="AB23" s="6"/>
      <c r="AC23" s="9"/>
    </row>
    <row r="24" spans="1:29" x14ac:dyDescent="0.3">
      <c r="A24" t="s">
        <v>20</v>
      </c>
      <c r="B24">
        <v>1</v>
      </c>
      <c r="C24" s="1" t="s">
        <v>23</v>
      </c>
      <c r="D24">
        <v>612</v>
      </c>
      <c r="G24">
        <v>85.02848835462953</v>
      </c>
      <c r="H24" s="3">
        <f>D24/G24*100</f>
        <v>719.75876772914376</v>
      </c>
      <c r="I24" s="3">
        <f t="shared" ref="I24:I70" si="5">15.918*B24+859.3</f>
        <v>875.21799999999996</v>
      </c>
      <c r="J24" s="3">
        <f>I24*G24/100</f>
        <v>744.18463520762145</v>
      </c>
      <c r="K24">
        <f>ABS((D24-J24)/D24)*100</f>
        <v>21.598796602552525</v>
      </c>
      <c r="AC24" s="8"/>
    </row>
    <row r="25" spans="1:29" x14ac:dyDescent="0.3">
      <c r="B25">
        <v>2</v>
      </c>
      <c r="C25" s="1" t="s">
        <v>7</v>
      </c>
      <c r="D25">
        <v>589</v>
      </c>
      <c r="G25">
        <v>85.478106876822665</v>
      </c>
      <c r="H25" s="3">
        <f t="shared" ref="H25:H35" si="6">D25/G25*100</f>
        <v>689.06533090253424</v>
      </c>
      <c r="I25" s="3">
        <f t="shared" si="5"/>
        <v>891.13599999999997</v>
      </c>
      <c r="J25" s="3">
        <f t="shared" ref="J25:J35" si="7">I25*G25/100</f>
        <v>761.72618249784239</v>
      </c>
      <c r="K25">
        <f t="shared" ref="K25:K59" si="8">ABS((D25-J25)/D25)*100</f>
        <v>29.325328098105668</v>
      </c>
      <c r="AC25" s="8"/>
    </row>
    <row r="26" spans="1:29" x14ac:dyDescent="0.3">
      <c r="B26">
        <v>3</v>
      </c>
      <c r="C26" s="1" t="s">
        <v>24</v>
      </c>
      <c r="D26">
        <v>621</v>
      </c>
      <c r="G26">
        <v>88.549036769201223</v>
      </c>
      <c r="H26" s="3">
        <f t="shared" si="6"/>
        <v>701.30632998143892</v>
      </c>
      <c r="I26" s="3">
        <f t="shared" si="5"/>
        <v>907.05399999999997</v>
      </c>
      <c r="J26" s="3">
        <f t="shared" si="7"/>
        <v>803.18757997651051</v>
      </c>
      <c r="K26">
        <f t="shared" si="8"/>
        <v>29.337774553383333</v>
      </c>
      <c r="AC26" s="8"/>
    </row>
    <row r="27" spans="1:29" x14ac:dyDescent="0.3">
      <c r="B27">
        <v>4</v>
      </c>
      <c r="C27" s="1" t="s">
        <v>25</v>
      </c>
      <c r="D27">
        <v>786</v>
      </c>
      <c r="G27">
        <v>117.82993280239563</v>
      </c>
      <c r="H27" s="3">
        <f t="shared" si="6"/>
        <v>667.06309789563045</v>
      </c>
      <c r="I27" s="3">
        <f t="shared" si="5"/>
        <v>922.97199999999998</v>
      </c>
      <c r="J27" s="3">
        <f t="shared" si="7"/>
        <v>1087.5372873849271</v>
      </c>
      <c r="K27">
        <f t="shared" si="8"/>
        <v>38.363522568056894</v>
      </c>
      <c r="AC27" s="8"/>
    </row>
    <row r="28" spans="1:29" x14ac:dyDescent="0.3">
      <c r="B28">
        <v>5</v>
      </c>
      <c r="C28" s="1" t="s">
        <v>26</v>
      </c>
      <c r="D28">
        <v>741</v>
      </c>
      <c r="G28">
        <v>123.51544747222208</v>
      </c>
      <c r="H28" s="3">
        <f t="shared" si="6"/>
        <v>599.92496093789941</v>
      </c>
      <c r="I28" s="3">
        <f t="shared" si="5"/>
        <v>938.89</v>
      </c>
      <c r="J28" s="3">
        <f t="shared" si="7"/>
        <v>1159.6741847719459</v>
      </c>
      <c r="K28">
        <f t="shared" si="8"/>
        <v>56.50123951038406</v>
      </c>
      <c r="AC28" s="8"/>
    </row>
    <row r="29" spans="1:29" x14ac:dyDescent="0.3">
      <c r="B29">
        <v>6</v>
      </c>
      <c r="C29" s="1" t="s">
        <v>27</v>
      </c>
      <c r="D29">
        <v>972</v>
      </c>
      <c r="E29" s="3">
        <f>AVERAGE(D24:D35)</f>
        <v>900.25</v>
      </c>
      <c r="G29">
        <v>128.90644190363494</v>
      </c>
      <c r="H29" s="3">
        <f t="shared" si="6"/>
        <v>754.03524109883233</v>
      </c>
      <c r="I29" s="3">
        <f t="shared" si="5"/>
        <v>954.80799999999999</v>
      </c>
      <c r="J29" s="3">
        <f t="shared" si="7"/>
        <v>1230.8090198112588</v>
      </c>
      <c r="K29">
        <f t="shared" si="8"/>
        <v>26.62644236741346</v>
      </c>
      <c r="AC29" s="8"/>
    </row>
    <row r="30" spans="1:29" x14ac:dyDescent="0.3">
      <c r="B30">
        <v>7</v>
      </c>
      <c r="C30" s="1" t="s">
        <v>28</v>
      </c>
      <c r="D30">
        <v>893</v>
      </c>
      <c r="E30" s="3">
        <f t="shared" ref="E30:E53" si="9">AVERAGE(D25:D36)</f>
        <v>941.91666666666663</v>
      </c>
      <c r="F30" s="3">
        <f>AVERAGE(E29:E30)</f>
        <v>921.08333333333326</v>
      </c>
      <c r="G30">
        <v>83.584312825274651</v>
      </c>
      <c r="H30" s="3">
        <f t="shared" si="6"/>
        <v>1068.3822954514619</v>
      </c>
      <c r="I30" s="3">
        <f t="shared" si="5"/>
        <v>970.72599999999989</v>
      </c>
      <c r="J30" s="3">
        <f t="shared" si="7"/>
        <v>811.37465651627554</v>
      </c>
      <c r="K30">
        <f t="shared" si="8"/>
        <v>9.1405759780206566</v>
      </c>
      <c r="AC30" s="8"/>
    </row>
    <row r="31" spans="1:29" x14ac:dyDescent="0.3">
      <c r="B31">
        <v>8</v>
      </c>
      <c r="C31" s="1" t="s">
        <v>29</v>
      </c>
      <c r="D31">
        <v>1196</v>
      </c>
      <c r="E31" s="3">
        <f t="shared" si="9"/>
        <v>986.16666666666663</v>
      </c>
      <c r="F31" s="3">
        <f t="shared" ref="F31:F53" si="10">AVERAGE(E30:E31)</f>
        <v>964.04166666666663</v>
      </c>
      <c r="G31">
        <v>106.88122819764585</v>
      </c>
      <c r="H31" s="3">
        <f t="shared" si="6"/>
        <v>1118.9991172148066</v>
      </c>
      <c r="I31" s="3">
        <f t="shared" si="5"/>
        <v>986.64400000000001</v>
      </c>
      <c r="J31" s="3">
        <f t="shared" si="7"/>
        <v>1054.5372251383808</v>
      </c>
      <c r="K31">
        <f t="shared" si="8"/>
        <v>11.827991209165486</v>
      </c>
      <c r="AC31" s="8"/>
    </row>
    <row r="32" spans="1:29" x14ac:dyDescent="0.3">
      <c r="B32">
        <v>9</v>
      </c>
      <c r="C32" s="1" t="s">
        <v>30</v>
      </c>
      <c r="D32">
        <v>955</v>
      </c>
      <c r="E32" s="3">
        <f t="shared" si="9"/>
        <v>1030.8333333333333</v>
      </c>
      <c r="F32" s="3">
        <f t="shared" si="10"/>
        <v>1008.5</v>
      </c>
      <c r="G32">
        <v>85.679479518329643</v>
      </c>
      <c r="H32" s="3">
        <f t="shared" si="6"/>
        <v>1114.6192826669708</v>
      </c>
      <c r="I32" s="3">
        <f t="shared" si="5"/>
        <v>1002.5619999999999</v>
      </c>
      <c r="J32" s="3">
        <f t="shared" si="7"/>
        <v>858.98990344855599</v>
      </c>
      <c r="K32">
        <f t="shared" si="8"/>
        <v>10.053413251460105</v>
      </c>
      <c r="AC32" s="8"/>
    </row>
    <row r="33" spans="1:29" x14ac:dyDescent="0.3">
      <c r="B33">
        <v>10</v>
      </c>
      <c r="C33" s="1" t="s">
        <v>31</v>
      </c>
      <c r="D33">
        <v>979</v>
      </c>
      <c r="E33" s="3">
        <f t="shared" si="9"/>
        <v>1090.8333333333333</v>
      </c>
      <c r="F33" s="3">
        <f t="shared" si="10"/>
        <v>1060.8333333333333</v>
      </c>
      <c r="G33">
        <v>85.660839102276427</v>
      </c>
      <c r="H33" s="3">
        <f t="shared" si="6"/>
        <v>1142.8793019773061</v>
      </c>
      <c r="I33" s="3">
        <f t="shared" si="5"/>
        <v>1018.48</v>
      </c>
      <c r="J33" s="3">
        <f t="shared" si="7"/>
        <v>872.43851408886485</v>
      </c>
      <c r="K33">
        <f t="shared" si="8"/>
        <v>10.884727876520445</v>
      </c>
      <c r="AC33" s="8"/>
    </row>
    <row r="34" spans="1:29" x14ac:dyDescent="0.3">
      <c r="B34">
        <v>11</v>
      </c>
      <c r="C34" s="1" t="s">
        <v>32</v>
      </c>
      <c r="D34">
        <v>1225</v>
      </c>
      <c r="E34" s="3">
        <f t="shared" si="9"/>
        <v>1162.25</v>
      </c>
      <c r="F34" s="3">
        <f t="shared" si="10"/>
        <v>1126.5416666666665</v>
      </c>
      <c r="G34">
        <v>103.23224659119387</v>
      </c>
      <c r="H34" s="3">
        <f t="shared" si="6"/>
        <v>1186.6447165981733</v>
      </c>
      <c r="I34" s="3">
        <f t="shared" si="5"/>
        <v>1034.3979999999999</v>
      </c>
      <c r="J34" s="3">
        <f t="shared" si="7"/>
        <v>1067.8322940943774</v>
      </c>
      <c r="K34">
        <f t="shared" si="8"/>
        <v>12.830016808622252</v>
      </c>
      <c r="AC34" s="8"/>
    </row>
    <row r="35" spans="1:29" x14ac:dyDescent="0.3">
      <c r="B35">
        <v>12</v>
      </c>
      <c r="C35" s="1" t="s">
        <v>33</v>
      </c>
      <c r="D35">
        <v>1234</v>
      </c>
      <c r="E35" s="3">
        <f t="shared" si="9"/>
        <v>1220.1666666666667</v>
      </c>
      <c r="F35" s="3">
        <f t="shared" si="10"/>
        <v>1191.2083333333335</v>
      </c>
      <c r="G35">
        <v>105.65443958637373</v>
      </c>
      <c r="H35" s="3">
        <f t="shared" si="6"/>
        <v>1167.9584926397633</v>
      </c>
      <c r="I35" s="3">
        <f t="shared" si="5"/>
        <v>1050.316</v>
      </c>
      <c r="J35" s="3">
        <f t="shared" si="7"/>
        <v>1109.705483686017</v>
      </c>
      <c r="K35">
        <f t="shared" si="8"/>
        <v>10.072489166449188</v>
      </c>
      <c r="AC35" s="8"/>
    </row>
    <row r="36" spans="1:29" x14ac:dyDescent="0.3">
      <c r="A36" t="s">
        <v>21</v>
      </c>
      <c r="B36">
        <v>13</v>
      </c>
      <c r="C36" s="1" t="s">
        <v>23</v>
      </c>
      <c r="D36">
        <v>1112</v>
      </c>
      <c r="E36" s="3">
        <f t="shared" si="9"/>
        <v>1226</v>
      </c>
      <c r="F36" s="3">
        <f t="shared" si="10"/>
        <v>1223.0833333333335</v>
      </c>
      <c r="G36">
        <v>85.02848835462953</v>
      </c>
      <c r="H36" s="3">
        <f t="shared" ref="H36:H59" si="11">D36/G36*100</f>
        <v>1307.7969766581828</v>
      </c>
      <c r="I36" s="3">
        <f t="shared" si="5"/>
        <v>1066.2339999999999</v>
      </c>
      <c r="J36" s="3">
        <f t="shared" ref="J36:J71" si="12">I36*G36/100</f>
        <v>906.60265252310057</v>
      </c>
      <c r="K36">
        <f t="shared" si="8"/>
        <v>18.470984485332682</v>
      </c>
      <c r="AC36" s="8"/>
    </row>
    <row r="37" spans="1:29" x14ac:dyDescent="0.3">
      <c r="B37">
        <v>14</v>
      </c>
      <c r="C37" s="1" t="s">
        <v>7</v>
      </c>
      <c r="D37">
        <v>1120</v>
      </c>
      <c r="E37" s="3">
        <f t="shared" si="9"/>
        <v>1228.6666666666667</v>
      </c>
      <c r="F37" s="3">
        <f t="shared" si="10"/>
        <v>1227.3333333333335</v>
      </c>
      <c r="G37">
        <v>85.478106876822665</v>
      </c>
      <c r="H37" s="3">
        <f t="shared" si="11"/>
        <v>1310.2770298995558</v>
      </c>
      <c r="I37" s="3">
        <f t="shared" si="5"/>
        <v>1082.152</v>
      </c>
      <c r="J37" s="3">
        <f t="shared" si="12"/>
        <v>925.0030431296741</v>
      </c>
      <c r="K37">
        <f t="shared" si="8"/>
        <v>17.41044257770767</v>
      </c>
      <c r="AC37" s="8"/>
    </row>
    <row r="38" spans="1:29" x14ac:dyDescent="0.3">
      <c r="B38">
        <v>15</v>
      </c>
      <c r="C38" s="1" t="s">
        <v>24</v>
      </c>
      <c r="D38">
        <v>1157</v>
      </c>
      <c r="E38" s="3">
        <f t="shared" si="9"/>
        <v>1236</v>
      </c>
      <c r="F38" s="3">
        <f t="shared" si="10"/>
        <v>1232.3333333333335</v>
      </c>
      <c r="G38">
        <v>88.549036769201223</v>
      </c>
      <c r="H38" s="3">
        <f t="shared" si="11"/>
        <v>1306.6206502230675</v>
      </c>
      <c r="I38" s="3">
        <f t="shared" si="5"/>
        <v>1098.07</v>
      </c>
      <c r="J38" s="3">
        <f t="shared" si="12"/>
        <v>972.33040805156782</v>
      </c>
      <c r="K38">
        <f t="shared" si="8"/>
        <v>15.961071041351097</v>
      </c>
      <c r="AC38" s="8"/>
    </row>
    <row r="39" spans="1:29" x14ac:dyDescent="0.3">
      <c r="B39">
        <v>16</v>
      </c>
      <c r="C39" s="1" t="s">
        <v>25</v>
      </c>
      <c r="D39">
        <v>1506</v>
      </c>
      <c r="E39" s="3">
        <f t="shared" si="9"/>
        <v>1243.9166666666667</v>
      </c>
      <c r="F39" s="3">
        <f t="shared" si="10"/>
        <v>1239.9583333333335</v>
      </c>
      <c r="G39">
        <v>117.82993280239563</v>
      </c>
      <c r="H39" s="3">
        <f t="shared" si="11"/>
        <v>1278.1132639068951</v>
      </c>
      <c r="I39" s="3">
        <f t="shared" si="5"/>
        <v>1113.9879999999998</v>
      </c>
      <c r="J39" s="3">
        <f t="shared" si="12"/>
        <v>1312.6113118267508</v>
      </c>
      <c r="K39">
        <f t="shared" si="8"/>
        <v>12.841214354133413</v>
      </c>
      <c r="AC39" s="8"/>
    </row>
    <row r="40" spans="1:29" x14ac:dyDescent="0.3">
      <c r="B40">
        <v>17</v>
      </c>
      <c r="C40" s="1" t="s">
        <v>26</v>
      </c>
      <c r="D40">
        <v>1598</v>
      </c>
      <c r="E40" s="3">
        <f t="shared" si="9"/>
        <v>1252.5833333333333</v>
      </c>
      <c r="F40" s="3">
        <f t="shared" si="10"/>
        <v>1248.25</v>
      </c>
      <c r="G40">
        <v>123.51544747222208</v>
      </c>
      <c r="H40" s="3">
        <f t="shared" si="11"/>
        <v>1293.7653003761986</v>
      </c>
      <c r="I40" s="3">
        <f t="shared" si="5"/>
        <v>1129.9059999999999</v>
      </c>
      <c r="J40" s="3">
        <f t="shared" si="12"/>
        <v>1395.6084519154856</v>
      </c>
      <c r="K40">
        <f t="shared" si="8"/>
        <v>12.665303384512791</v>
      </c>
      <c r="AC40" s="8"/>
    </row>
    <row r="41" spans="1:29" x14ac:dyDescent="0.3">
      <c r="B41">
        <v>18</v>
      </c>
      <c r="C41" s="1" t="s">
        <v>27</v>
      </c>
      <c r="D41">
        <v>1667</v>
      </c>
      <c r="E41" s="3">
        <f t="shared" si="9"/>
        <v>1271.5833333333333</v>
      </c>
      <c r="F41" s="3">
        <f t="shared" si="10"/>
        <v>1262.0833333333333</v>
      </c>
      <c r="G41">
        <v>128.90644190363494</v>
      </c>
      <c r="H41" s="3">
        <f t="shared" si="11"/>
        <v>1293.185953612915</v>
      </c>
      <c r="I41" s="3">
        <f t="shared" si="5"/>
        <v>1145.8240000000001</v>
      </c>
      <c r="J41" s="3">
        <f t="shared" si="12"/>
        <v>1477.0409488779062</v>
      </c>
      <c r="K41">
        <f t="shared" si="8"/>
        <v>11.395264014522724</v>
      </c>
      <c r="AC41" s="8"/>
    </row>
    <row r="42" spans="1:29" x14ac:dyDescent="0.3">
      <c r="B42">
        <v>19</v>
      </c>
      <c r="C42" s="1" t="s">
        <v>28</v>
      </c>
      <c r="D42">
        <v>963</v>
      </c>
      <c r="E42" s="3">
        <f t="shared" si="9"/>
        <v>1269.25</v>
      </c>
      <c r="F42" s="3">
        <f t="shared" si="10"/>
        <v>1270.4166666666665</v>
      </c>
      <c r="G42">
        <v>83.584312825274651</v>
      </c>
      <c r="H42" s="3">
        <f t="shared" si="11"/>
        <v>1152.1300677712852</v>
      </c>
      <c r="I42" s="3">
        <f t="shared" si="5"/>
        <v>1161.742</v>
      </c>
      <c r="J42" s="3">
        <f t="shared" si="12"/>
        <v>971.03406750260228</v>
      </c>
      <c r="K42">
        <f t="shared" si="8"/>
        <v>0.83427492238860679</v>
      </c>
      <c r="AC42" s="8"/>
    </row>
    <row r="43" spans="1:29" x14ac:dyDescent="0.3">
      <c r="B43">
        <v>20</v>
      </c>
      <c r="C43" s="1" t="s">
        <v>29</v>
      </c>
      <c r="D43">
        <v>1228</v>
      </c>
      <c r="E43" s="3">
        <f t="shared" si="9"/>
        <v>1266.8333333333333</v>
      </c>
      <c r="F43" s="3">
        <f t="shared" si="10"/>
        <v>1268.0416666666665</v>
      </c>
      <c r="G43">
        <v>106.88122819764585</v>
      </c>
      <c r="H43" s="3">
        <f t="shared" si="11"/>
        <v>1148.9388929262395</v>
      </c>
      <c r="I43" s="3">
        <f t="shared" si="5"/>
        <v>1177.6599999999999</v>
      </c>
      <c r="J43" s="3">
        <f t="shared" si="12"/>
        <v>1258.697471992396</v>
      </c>
      <c r="K43">
        <f t="shared" si="8"/>
        <v>2.4997941361885996</v>
      </c>
      <c r="AC43" s="8"/>
    </row>
    <row r="44" spans="1:29" x14ac:dyDescent="0.3">
      <c r="B44">
        <v>21</v>
      </c>
      <c r="C44" s="1" t="s">
        <v>30</v>
      </c>
      <c r="D44">
        <v>1043</v>
      </c>
      <c r="E44" s="3">
        <f t="shared" si="9"/>
        <v>1265.0833333333333</v>
      </c>
      <c r="F44" s="3">
        <f t="shared" si="10"/>
        <v>1265.9583333333333</v>
      </c>
      <c r="G44">
        <v>85.679479518329643</v>
      </c>
      <c r="H44" s="3">
        <f t="shared" si="11"/>
        <v>1217.3276563577492</v>
      </c>
      <c r="I44" s="3">
        <f t="shared" si="5"/>
        <v>1193.578</v>
      </c>
      <c r="J44" s="3">
        <f t="shared" si="12"/>
        <v>1022.6514180452886</v>
      </c>
      <c r="K44">
        <f t="shared" si="8"/>
        <v>1.9509666303654312</v>
      </c>
      <c r="AC44" s="8"/>
    </row>
    <row r="45" spans="1:29" x14ac:dyDescent="0.3">
      <c r="B45">
        <v>22</v>
      </c>
      <c r="C45" s="1" t="s">
        <v>31</v>
      </c>
      <c r="D45">
        <v>1074</v>
      </c>
      <c r="E45" s="3">
        <f t="shared" si="9"/>
        <v>1269.1666666666667</v>
      </c>
      <c r="F45" s="3">
        <f t="shared" si="10"/>
        <v>1267.125</v>
      </c>
      <c r="G45">
        <v>85.660839102276427</v>
      </c>
      <c r="H45" s="3">
        <f t="shared" si="11"/>
        <v>1253.7817878688729</v>
      </c>
      <c r="I45" s="3">
        <f t="shared" si="5"/>
        <v>1209.4959999999999</v>
      </c>
      <c r="J45" s="3">
        <f t="shared" si="12"/>
        <v>1036.0644225084691</v>
      </c>
      <c r="K45">
        <f t="shared" si="8"/>
        <v>3.5321766751890991</v>
      </c>
      <c r="AC45" s="8"/>
    </row>
    <row r="46" spans="1:29" x14ac:dyDescent="0.3">
      <c r="B46">
        <v>23</v>
      </c>
      <c r="C46" s="1" t="s">
        <v>32</v>
      </c>
      <c r="D46">
        <v>1329</v>
      </c>
      <c r="E46" s="3">
        <f t="shared" si="9"/>
        <v>1271.4166666666667</v>
      </c>
      <c r="F46" s="3">
        <f t="shared" si="10"/>
        <v>1270.2916666666667</v>
      </c>
      <c r="G46">
        <v>103.23224659119387</v>
      </c>
      <c r="H46" s="3">
        <f t="shared" si="11"/>
        <v>1287.3884313134467</v>
      </c>
      <c r="I46" s="3">
        <f t="shared" si="5"/>
        <v>1225.414</v>
      </c>
      <c r="J46" s="3">
        <f t="shared" si="12"/>
        <v>1265.0224022430125</v>
      </c>
      <c r="K46">
        <f t="shared" si="8"/>
        <v>4.8139652187349515</v>
      </c>
      <c r="AC46" s="8"/>
    </row>
    <row r="47" spans="1:29" x14ac:dyDescent="0.3">
      <c r="B47">
        <v>24</v>
      </c>
      <c r="C47" s="1" t="s">
        <v>33</v>
      </c>
      <c r="D47">
        <v>1462</v>
      </c>
      <c r="E47" s="3">
        <f t="shared" si="9"/>
        <v>1276.1666666666667</v>
      </c>
      <c r="F47" s="3">
        <f t="shared" si="10"/>
        <v>1273.7916666666667</v>
      </c>
      <c r="G47">
        <v>105.65443958637373</v>
      </c>
      <c r="H47" s="3">
        <f t="shared" si="11"/>
        <v>1383.7563340675317</v>
      </c>
      <c r="I47" s="3">
        <f t="shared" si="5"/>
        <v>1241.3319999999999</v>
      </c>
      <c r="J47" s="3">
        <f t="shared" si="12"/>
        <v>1311.5223680063248</v>
      </c>
      <c r="K47">
        <f t="shared" si="8"/>
        <v>10.292587687665884</v>
      </c>
      <c r="AC47" s="8"/>
    </row>
    <row r="48" spans="1:29" x14ac:dyDescent="0.3">
      <c r="A48" t="s">
        <v>22</v>
      </c>
      <c r="B48">
        <v>25</v>
      </c>
      <c r="C48" s="1" t="s">
        <v>23</v>
      </c>
      <c r="D48">
        <v>1084</v>
      </c>
      <c r="E48" s="3">
        <f t="shared" si="9"/>
        <v>1279.8333333333333</v>
      </c>
      <c r="F48" s="3">
        <f t="shared" si="10"/>
        <v>1278</v>
      </c>
      <c r="G48">
        <v>85.02848835462953</v>
      </c>
      <c r="H48" s="3">
        <f t="shared" si="11"/>
        <v>1274.8668369581565</v>
      </c>
      <c r="I48" s="3">
        <f t="shared" si="5"/>
        <v>1257.25</v>
      </c>
      <c r="J48" s="3">
        <f t="shared" si="12"/>
        <v>1069.0206698385798</v>
      </c>
      <c r="K48">
        <f t="shared" si="8"/>
        <v>1.3818570259612724</v>
      </c>
      <c r="AC48" s="8"/>
    </row>
    <row r="49" spans="1:29" x14ac:dyDescent="0.3">
      <c r="B49">
        <v>26</v>
      </c>
      <c r="C49" s="1" t="s">
        <v>7</v>
      </c>
      <c r="D49">
        <v>1091</v>
      </c>
      <c r="E49" s="3">
        <f t="shared" si="9"/>
        <v>1274.8333333333333</v>
      </c>
      <c r="F49" s="3">
        <f t="shared" si="10"/>
        <v>1277.3333333333333</v>
      </c>
      <c r="G49">
        <v>85.478106876822665</v>
      </c>
      <c r="H49" s="3">
        <f t="shared" si="11"/>
        <v>1276.3502139467996</v>
      </c>
      <c r="I49" s="3">
        <f t="shared" si="5"/>
        <v>1273.1679999999999</v>
      </c>
      <c r="J49" s="3">
        <f t="shared" si="12"/>
        <v>1088.2799037615055</v>
      </c>
      <c r="K49">
        <f t="shared" si="8"/>
        <v>0.24932137841379784</v>
      </c>
      <c r="AC49" s="8"/>
    </row>
    <row r="50" spans="1:29" x14ac:dyDescent="0.3">
      <c r="B50">
        <v>27</v>
      </c>
      <c r="C50" s="1" t="s">
        <v>24</v>
      </c>
      <c r="D50">
        <v>1136</v>
      </c>
      <c r="E50" s="3">
        <f t="shared" si="9"/>
        <v>1274.3333333333333</v>
      </c>
      <c r="F50" s="3">
        <f t="shared" si="10"/>
        <v>1274.5833333333333</v>
      </c>
      <c r="G50">
        <v>88.549036769201223</v>
      </c>
      <c r="H50" s="3">
        <f t="shared" si="11"/>
        <v>1282.9049772285259</v>
      </c>
      <c r="I50" s="3">
        <f t="shared" si="5"/>
        <v>1289.086</v>
      </c>
      <c r="J50" s="3">
        <f t="shared" si="12"/>
        <v>1141.4732361266254</v>
      </c>
      <c r="K50">
        <f t="shared" si="8"/>
        <v>0.48179895480856977</v>
      </c>
      <c r="AC50" s="8"/>
    </row>
    <row r="51" spans="1:29" x14ac:dyDescent="0.3">
      <c r="B51">
        <v>28</v>
      </c>
      <c r="C51" s="1" t="s">
        <v>25</v>
      </c>
      <c r="D51">
        <v>1555</v>
      </c>
      <c r="E51" s="3">
        <f t="shared" si="9"/>
        <v>1273.25</v>
      </c>
      <c r="F51" s="3">
        <f t="shared" si="10"/>
        <v>1273.7916666666665</v>
      </c>
      <c r="G51">
        <v>117.82993280239563</v>
      </c>
      <c r="H51" s="3">
        <f t="shared" si="11"/>
        <v>1319.6986224271061</v>
      </c>
      <c r="I51" s="3">
        <f t="shared" si="5"/>
        <v>1305.0039999999999</v>
      </c>
      <c r="J51" s="3">
        <f t="shared" si="12"/>
        <v>1537.6853362685752</v>
      </c>
      <c r="K51">
        <f t="shared" si="8"/>
        <v>1.1134831981623694</v>
      </c>
      <c r="AB51" s="6"/>
    </row>
    <row r="52" spans="1:29" x14ac:dyDescent="0.3">
      <c r="B52">
        <v>29</v>
      </c>
      <c r="C52" s="1" t="s">
        <v>26</v>
      </c>
      <c r="D52">
        <v>1625</v>
      </c>
      <c r="E52" s="3">
        <f t="shared" si="9"/>
        <v>1280.5</v>
      </c>
      <c r="F52" s="3">
        <f t="shared" si="10"/>
        <v>1276.875</v>
      </c>
      <c r="G52">
        <v>123.51544747222208</v>
      </c>
      <c r="H52" s="3">
        <f t="shared" si="11"/>
        <v>1315.6249143374987</v>
      </c>
      <c r="I52" s="3">
        <f t="shared" si="5"/>
        <v>1320.922</v>
      </c>
      <c r="J52" s="3">
        <f t="shared" si="12"/>
        <v>1631.5427190590253</v>
      </c>
      <c r="K52">
        <f t="shared" si="8"/>
        <v>0.40262886517078955</v>
      </c>
    </row>
    <row r="53" spans="1:29" x14ac:dyDescent="0.3">
      <c r="B53">
        <v>30</v>
      </c>
      <c r="C53" s="1" t="s">
        <v>27</v>
      </c>
      <c r="D53">
        <v>1724</v>
      </c>
      <c r="E53" s="3">
        <f t="shared" si="9"/>
        <v>1286.0833333333333</v>
      </c>
      <c r="F53" s="3">
        <f t="shared" si="10"/>
        <v>1283.2916666666665</v>
      </c>
      <c r="G53">
        <v>128.90644190363494</v>
      </c>
      <c r="H53" s="3">
        <f t="shared" si="11"/>
        <v>1337.4040696032787</v>
      </c>
      <c r="I53" s="3">
        <f t="shared" si="5"/>
        <v>1336.84</v>
      </c>
      <c r="J53" s="3">
        <f t="shared" si="12"/>
        <v>1723.2728779445533</v>
      </c>
      <c r="K53">
        <f t="shared" si="8"/>
        <v>4.2176453332173486E-2</v>
      </c>
    </row>
    <row r="54" spans="1:29" x14ac:dyDescent="0.3">
      <c r="B54">
        <v>31</v>
      </c>
      <c r="C54" s="1" t="s">
        <v>28</v>
      </c>
      <c r="D54">
        <v>1007</v>
      </c>
      <c r="F54" s="3"/>
      <c r="G54">
        <v>83.584312825274651</v>
      </c>
      <c r="H54" s="3">
        <f t="shared" si="11"/>
        <v>1204.7715246580315</v>
      </c>
      <c r="I54" s="3">
        <f t="shared" si="5"/>
        <v>1352.7579999999998</v>
      </c>
      <c r="J54" s="3">
        <f t="shared" si="12"/>
        <v>1130.6934784889286</v>
      </c>
      <c r="K54">
        <f t="shared" si="8"/>
        <v>12.283364298801249</v>
      </c>
    </row>
    <row r="55" spans="1:29" x14ac:dyDescent="0.3">
      <c r="B55">
        <v>32</v>
      </c>
      <c r="C55" s="1" t="s">
        <v>29</v>
      </c>
      <c r="D55">
        <v>1168</v>
      </c>
      <c r="G55">
        <v>106.88122819764585</v>
      </c>
      <c r="H55" s="3">
        <f t="shared" si="11"/>
        <v>1092.8018134673027</v>
      </c>
      <c r="I55" s="3">
        <f t="shared" si="5"/>
        <v>1368.6759999999999</v>
      </c>
      <c r="J55" s="3">
        <f t="shared" si="12"/>
        <v>1462.8577188464112</v>
      </c>
      <c r="K55">
        <f t="shared" si="8"/>
        <v>25.244667709453019</v>
      </c>
    </row>
    <row r="56" spans="1:29" x14ac:dyDescent="0.3">
      <c r="B56">
        <v>33</v>
      </c>
      <c r="C56" s="1" t="s">
        <v>30</v>
      </c>
      <c r="D56">
        <v>1037</v>
      </c>
      <c r="G56">
        <v>85.679479518329643</v>
      </c>
      <c r="H56" s="3">
        <f t="shared" si="11"/>
        <v>1210.3248126970143</v>
      </c>
      <c r="I56" s="3">
        <f t="shared" si="5"/>
        <v>1384.5940000000001</v>
      </c>
      <c r="J56" s="3">
        <f t="shared" si="12"/>
        <v>1186.3129326420212</v>
      </c>
      <c r="K56">
        <f t="shared" si="8"/>
        <v>14.398547024302916</v>
      </c>
    </row>
    <row r="57" spans="1:29" x14ac:dyDescent="0.3">
      <c r="B57">
        <v>34</v>
      </c>
      <c r="C57" s="1" t="s">
        <v>31</v>
      </c>
      <c r="D57">
        <v>1061</v>
      </c>
      <c r="G57">
        <v>85.660839102276427</v>
      </c>
      <c r="H57" s="3">
        <f t="shared" si="11"/>
        <v>1238.6056582205531</v>
      </c>
      <c r="I57" s="3">
        <f t="shared" si="5"/>
        <v>1400.5119999999999</v>
      </c>
      <c r="J57" s="3">
        <f t="shared" si="12"/>
        <v>1199.6903309280735</v>
      </c>
      <c r="K57">
        <f t="shared" si="8"/>
        <v>13.071661727433886</v>
      </c>
    </row>
    <row r="58" spans="1:29" x14ac:dyDescent="0.3">
      <c r="B58">
        <v>35</v>
      </c>
      <c r="C58" s="1" t="s">
        <v>32</v>
      </c>
      <c r="D58">
        <v>1416</v>
      </c>
      <c r="G58">
        <v>103.23224659119387</v>
      </c>
      <c r="H58" s="3">
        <f t="shared" si="11"/>
        <v>1371.6644234310313</v>
      </c>
      <c r="I58" s="3">
        <f t="shared" si="5"/>
        <v>1416.4299999999998</v>
      </c>
      <c r="J58" s="3">
        <f t="shared" si="12"/>
        <v>1462.2125103916471</v>
      </c>
      <c r="K58">
        <f t="shared" si="8"/>
        <v>3.2635953666417463</v>
      </c>
    </row>
    <row r="59" spans="1:29" x14ac:dyDescent="0.3">
      <c r="B59">
        <v>36</v>
      </c>
      <c r="C59" s="1" t="s">
        <v>33</v>
      </c>
      <c r="D59">
        <v>1529</v>
      </c>
      <c r="G59">
        <v>105.65443958637373</v>
      </c>
      <c r="H59" s="3">
        <f t="shared" si="11"/>
        <v>1447.1706120309548</v>
      </c>
      <c r="I59" s="3">
        <f t="shared" si="5"/>
        <v>1432.348</v>
      </c>
      <c r="J59" s="3">
        <f t="shared" si="12"/>
        <v>1513.3392523266323</v>
      </c>
      <c r="K59">
        <f t="shared" si="8"/>
        <v>1.024247722260806</v>
      </c>
    </row>
    <row r="60" spans="1:29" x14ac:dyDescent="0.3">
      <c r="A60" t="s">
        <v>39</v>
      </c>
      <c r="B60">
        <v>37</v>
      </c>
      <c r="C60" s="1" t="s">
        <v>23</v>
      </c>
      <c r="G60">
        <v>85.02848835462953</v>
      </c>
      <c r="I60" s="3">
        <f t="shared" si="5"/>
        <v>1448.2660000000001</v>
      </c>
      <c r="J60" s="3">
        <f t="shared" si="12"/>
        <v>1231.4386871540589</v>
      </c>
    </row>
    <row r="61" spans="1:29" x14ac:dyDescent="0.3">
      <c r="B61">
        <v>38</v>
      </c>
      <c r="C61" s="1" t="s">
        <v>7</v>
      </c>
      <c r="G61">
        <v>85.478106876822665</v>
      </c>
      <c r="I61" s="3">
        <f t="shared" si="5"/>
        <v>1464.184</v>
      </c>
      <c r="J61" s="3">
        <f t="shared" si="12"/>
        <v>1251.5567643933371</v>
      </c>
    </row>
    <row r="62" spans="1:29" x14ac:dyDescent="0.3">
      <c r="B62">
        <v>39</v>
      </c>
      <c r="C62" s="1" t="s">
        <v>24</v>
      </c>
      <c r="G62">
        <v>88.549036769201223</v>
      </c>
      <c r="I62" s="3">
        <f t="shared" si="5"/>
        <v>1480.1019999999999</v>
      </c>
      <c r="J62" s="3">
        <f t="shared" si="12"/>
        <v>1310.6160642016825</v>
      </c>
    </row>
    <row r="63" spans="1:29" x14ac:dyDescent="0.3">
      <c r="B63">
        <v>40</v>
      </c>
      <c r="C63" s="1" t="s">
        <v>25</v>
      </c>
      <c r="G63">
        <v>117.82993280239563</v>
      </c>
      <c r="I63" s="3">
        <f t="shared" si="5"/>
        <v>1496.02</v>
      </c>
      <c r="J63" s="3">
        <f t="shared" si="12"/>
        <v>1762.7593607103991</v>
      </c>
    </row>
    <row r="64" spans="1:29" x14ac:dyDescent="0.3">
      <c r="B64">
        <v>41</v>
      </c>
      <c r="C64" s="1" t="s">
        <v>26</v>
      </c>
      <c r="G64">
        <v>123.51544747222208</v>
      </c>
      <c r="I64" s="3">
        <f t="shared" si="5"/>
        <v>1511.9379999999999</v>
      </c>
      <c r="J64" s="3">
        <f t="shared" si="12"/>
        <v>1867.4769862025651</v>
      </c>
    </row>
    <row r="65" spans="2:11" x14ac:dyDescent="0.3">
      <c r="B65">
        <v>42</v>
      </c>
      <c r="C65" s="1" t="s">
        <v>27</v>
      </c>
      <c r="G65">
        <v>128.90644190363494</v>
      </c>
      <c r="I65" s="3">
        <f t="shared" si="5"/>
        <v>1527.8559999999998</v>
      </c>
      <c r="J65" s="3">
        <f t="shared" si="12"/>
        <v>1969.5048070112005</v>
      </c>
    </row>
    <row r="66" spans="2:11" x14ac:dyDescent="0.3">
      <c r="B66">
        <v>43</v>
      </c>
      <c r="C66" s="1" t="s">
        <v>28</v>
      </c>
      <c r="G66">
        <v>83.584312825274651</v>
      </c>
      <c r="I66" s="3">
        <f t="shared" si="5"/>
        <v>1543.7739999999999</v>
      </c>
      <c r="J66" s="3">
        <f t="shared" si="12"/>
        <v>1290.3528894752553</v>
      </c>
    </row>
    <row r="67" spans="2:11" x14ac:dyDescent="0.3">
      <c r="B67">
        <v>44</v>
      </c>
      <c r="C67" s="1" t="s">
        <v>29</v>
      </c>
      <c r="G67">
        <v>106.88122819764585</v>
      </c>
      <c r="I67" s="3">
        <f t="shared" si="5"/>
        <v>1559.692</v>
      </c>
      <c r="J67" s="3">
        <f t="shared" si="12"/>
        <v>1667.0179657004264</v>
      </c>
    </row>
    <row r="68" spans="2:11" x14ac:dyDescent="0.3">
      <c r="B68">
        <v>45</v>
      </c>
      <c r="C68" s="1" t="s">
        <v>30</v>
      </c>
      <c r="G68">
        <v>85.679479518329643</v>
      </c>
      <c r="I68" s="3">
        <f t="shared" si="5"/>
        <v>1575.61</v>
      </c>
      <c r="J68" s="3">
        <f t="shared" si="12"/>
        <v>1349.9744472387536</v>
      </c>
    </row>
    <row r="69" spans="2:11" x14ac:dyDescent="0.3">
      <c r="B69">
        <v>46</v>
      </c>
      <c r="C69" s="1" t="s">
        <v>31</v>
      </c>
      <c r="G69">
        <v>85.660839102276427</v>
      </c>
      <c r="I69" s="3">
        <f t="shared" si="5"/>
        <v>1591.5279999999998</v>
      </c>
      <c r="J69" s="3">
        <f t="shared" si="12"/>
        <v>1363.316239347678</v>
      </c>
    </row>
    <row r="70" spans="2:11" x14ac:dyDescent="0.3">
      <c r="B70">
        <v>47</v>
      </c>
      <c r="C70" s="1" t="s">
        <v>32</v>
      </c>
      <c r="G70">
        <v>103.23224659119387</v>
      </c>
      <c r="I70" s="3">
        <f t="shared" si="5"/>
        <v>1607.4459999999999</v>
      </c>
      <c r="J70" s="3">
        <f t="shared" si="12"/>
        <v>1659.4026185402822</v>
      </c>
    </row>
    <row r="71" spans="2:11" x14ac:dyDescent="0.3">
      <c r="B71">
        <v>48</v>
      </c>
      <c r="C71" s="1" t="s">
        <v>33</v>
      </c>
      <c r="G71">
        <v>105.65443958637373</v>
      </c>
      <c r="I71" s="3">
        <f>15.918*B71+859.3</f>
        <v>1623.364</v>
      </c>
      <c r="J71" s="3">
        <f t="shared" si="12"/>
        <v>1715.1561366469402</v>
      </c>
    </row>
    <row r="72" spans="2:11" x14ac:dyDescent="0.3">
      <c r="J72" s="2" t="s">
        <v>48</v>
      </c>
      <c r="K72">
        <f>AVERAGE(K24:K59)</f>
        <v>12.560769801193601</v>
      </c>
    </row>
  </sheetData>
  <phoneticPr fontId="3" type="noConversion"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AD9D-7E02-4A0E-8838-BC471EAC6AC9}">
  <dimension ref="A1:K37"/>
  <sheetViews>
    <sheetView topLeftCell="A16" workbookViewId="0">
      <selection activeCell="C2" sqref="C2:C37"/>
    </sheetView>
  </sheetViews>
  <sheetFormatPr defaultRowHeight="14.4" x14ac:dyDescent="0.3"/>
  <sheetData>
    <row r="1" spans="1:11" x14ac:dyDescent="0.3">
      <c r="A1" s="2" t="s">
        <v>45</v>
      </c>
      <c r="B1" s="2" t="s">
        <v>18</v>
      </c>
      <c r="C1" s="2" t="s">
        <v>54</v>
      </c>
      <c r="D1" s="2" t="s">
        <v>53</v>
      </c>
      <c r="E1" s="2" t="s">
        <v>50</v>
      </c>
      <c r="F1" s="2" t="s">
        <v>49</v>
      </c>
      <c r="G1" s="6" t="s">
        <v>51</v>
      </c>
      <c r="H1" s="6" t="s">
        <v>44</v>
      </c>
      <c r="I1" s="6" t="s">
        <v>36</v>
      </c>
      <c r="J1" s="6" t="s">
        <v>46</v>
      </c>
      <c r="K1" s="2" t="s">
        <v>52</v>
      </c>
    </row>
    <row r="2" spans="1:11" x14ac:dyDescent="0.3">
      <c r="A2">
        <v>1</v>
      </c>
      <c r="B2" s="1">
        <v>44652</v>
      </c>
      <c r="C2">
        <v>612</v>
      </c>
      <c r="G2" s="3">
        <v>85.02848835462953</v>
      </c>
      <c r="H2" s="3">
        <f>C2/G2*100</f>
        <v>719.75876772914376</v>
      </c>
      <c r="I2" s="3">
        <f t="shared" ref="I2:I37" si="0">15.918*A2+859.3</f>
        <v>875.21799999999996</v>
      </c>
      <c r="J2" s="3">
        <f>I2*G2/100</f>
        <v>744.18463520762145</v>
      </c>
      <c r="K2" s="3">
        <f>ABS((C2-J2)/C2)*100</f>
        <v>21.598796602552525</v>
      </c>
    </row>
    <row r="3" spans="1:11" x14ac:dyDescent="0.3">
      <c r="A3">
        <v>2</v>
      </c>
      <c r="B3" s="1">
        <v>44682</v>
      </c>
      <c r="C3">
        <v>589</v>
      </c>
      <c r="G3" s="3">
        <v>85.478106876822665</v>
      </c>
      <c r="H3" s="3">
        <f t="shared" ref="H3:H37" si="1">C3/G3*100</f>
        <v>689.06533090253424</v>
      </c>
      <c r="I3" s="3">
        <f t="shared" si="0"/>
        <v>891.13599999999997</v>
      </c>
      <c r="J3" s="3">
        <f t="shared" ref="J3:J37" si="2">I3*G3/100</f>
        <v>761.72618249784239</v>
      </c>
      <c r="K3" s="3">
        <f t="shared" ref="K3:K37" si="3">ABS((C3-J3)/C3)*100</f>
        <v>29.325328098105668</v>
      </c>
    </row>
    <row r="4" spans="1:11" x14ac:dyDescent="0.3">
      <c r="A4">
        <v>3</v>
      </c>
      <c r="B4" s="1">
        <v>44713</v>
      </c>
      <c r="C4">
        <v>621</v>
      </c>
      <c r="G4" s="3">
        <v>88.549036769201223</v>
      </c>
      <c r="H4" s="3">
        <f t="shared" si="1"/>
        <v>701.30632998143892</v>
      </c>
      <c r="I4" s="3">
        <f t="shared" si="0"/>
        <v>907.05399999999997</v>
      </c>
      <c r="J4" s="3">
        <f t="shared" si="2"/>
        <v>803.18757997651051</v>
      </c>
      <c r="K4" s="3">
        <f t="shared" si="3"/>
        <v>29.337774553383333</v>
      </c>
    </row>
    <row r="5" spans="1:11" x14ac:dyDescent="0.3">
      <c r="A5">
        <v>4</v>
      </c>
      <c r="B5" s="1">
        <v>44743</v>
      </c>
      <c r="C5">
        <v>786</v>
      </c>
      <c r="G5" s="3">
        <v>117.82993280239563</v>
      </c>
      <c r="H5" s="3">
        <f t="shared" si="1"/>
        <v>667.06309789563045</v>
      </c>
      <c r="I5" s="3">
        <f t="shared" si="0"/>
        <v>922.97199999999998</v>
      </c>
      <c r="J5" s="3">
        <f t="shared" si="2"/>
        <v>1087.5372873849271</v>
      </c>
      <c r="K5" s="3">
        <f t="shared" si="3"/>
        <v>38.363522568056894</v>
      </c>
    </row>
    <row r="6" spans="1:11" x14ac:dyDescent="0.3">
      <c r="A6">
        <v>5</v>
      </c>
      <c r="B6" s="1">
        <v>44774</v>
      </c>
      <c r="C6">
        <v>741</v>
      </c>
      <c r="G6" s="3">
        <v>123.51544747222208</v>
      </c>
      <c r="H6" s="3">
        <f t="shared" si="1"/>
        <v>599.92496093789941</v>
      </c>
      <c r="I6" s="3">
        <f t="shared" si="0"/>
        <v>938.89</v>
      </c>
      <c r="J6" s="3">
        <f t="shared" si="2"/>
        <v>1159.6741847719459</v>
      </c>
      <c r="K6" s="3">
        <f t="shared" si="3"/>
        <v>56.50123951038406</v>
      </c>
    </row>
    <row r="7" spans="1:11" x14ac:dyDescent="0.3">
      <c r="A7">
        <v>6</v>
      </c>
      <c r="B7" s="1">
        <v>44805</v>
      </c>
      <c r="C7">
        <v>972</v>
      </c>
      <c r="D7" s="3">
        <f>AVERAGE(C2:C13)</f>
        <v>900.25</v>
      </c>
      <c r="G7" s="3">
        <v>128.90644190363494</v>
      </c>
      <c r="H7" s="3">
        <f t="shared" si="1"/>
        <v>754.03524109883233</v>
      </c>
      <c r="I7" s="3">
        <f t="shared" si="0"/>
        <v>954.80799999999999</v>
      </c>
      <c r="J7" s="3">
        <f t="shared" si="2"/>
        <v>1230.8090198112588</v>
      </c>
      <c r="K7" s="3">
        <f t="shared" si="3"/>
        <v>26.62644236741346</v>
      </c>
    </row>
    <row r="8" spans="1:11" x14ac:dyDescent="0.3">
      <c r="A8">
        <v>7</v>
      </c>
      <c r="B8" s="1">
        <v>44835</v>
      </c>
      <c r="C8">
        <v>893</v>
      </c>
      <c r="D8" s="3">
        <f t="shared" ref="D8:D31" si="4">AVERAGE(C3:C14)</f>
        <v>941.91666666666663</v>
      </c>
      <c r="E8" s="3">
        <f>AVERAGE(D7:D8)</f>
        <v>921.08333333333326</v>
      </c>
      <c r="F8" s="3">
        <f>((C8/E8)*100)/100</f>
        <v>0.96951054012485305</v>
      </c>
      <c r="G8" s="3">
        <v>83.584312825274651</v>
      </c>
      <c r="H8" s="3">
        <f t="shared" si="1"/>
        <v>1068.3822954514619</v>
      </c>
      <c r="I8" s="3">
        <f t="shared" si="0"/>
        <v>970.72599999999989</v>
      </c>
      <c r="J8" s="3">
        <f t="shared" si="2"/>
        <v>811.37465651627554</v>
      </c>
      <c r="K8" s="3">
        <f t="shared" si="3"/>
        <v>9.1405759780206566</v>
      </c>
    </row>
    <row r="9" spans="1:11" x14ac:dyDescent="0.3">
      <c r="A9">
        <v>8</v>
      </c>
      <c r="B9" s="1">
        <v>44866</v>
      </c>
      <c r="C9">
        <v>1196</v>
      </c>
      <c r="D9" s="3">
        <f t="shared" si="4"/>
        <v>986.16666666666663</v>
      </c>
      <c r="E9" s="3">
        <f t="shared" ref="E9:E31" si="5">AVERAGE(D8:D9)</f>
        <v>964.04166666666663</v>
      </c>
      <c r="F9" s="3">
        <f t="shared" ref="F9:F31" si="6">((C9/E9)*100)/100</f>
        <v>1.2406102779098414</v>
      </c>
      <c r="G9" s="3">
        <v>106.88122819764585</v>
      </c>
      <c r="H9" s="3">
        <f t="shared" si="1"/>
        <v>1118.9991172148066</v>
      </c>
      <c r="I9" s="3">
        <f t="shared" si="0"/>
        <v>986.64400000000001</v>
      </c>
      <c r="J9" s="3">
        <f t="shared" si="2"/>
        <v>1054.5372251383808</v>
      </c>
      <c r="K9" s="3">
        <f t="shared" si="3"/>
        <v>11.827991209165486</v>
      </c>
    </row>
    <row r="10" spans="1:11" x14ac:dyDescent="0.3">
      <c r="A10">
        <v>9</v>
      </c>
      <c r="B10" s="1">
        <v>44896</v>
      </c>
      <c r="C10">
        <v>955</v>
      </c>
      <c r="D10" s="3">
        <f t="shared" si="4"/>
        <v>1030.8333333333333</v>
      </c>
      <c r="E10" s="3">
        <f t="shared" si="5"/>
        <v>1008.5</v>
      </c>
      <c r="F10" s="3">
        <f t="shared" si="6"/>
        <v>0.94695091720376789</v>
      </c>
      <c r="G10" s="3">
        <v>85.679479518329643</v>
      </c>
      <c r="H10" s="3">
        <f t="shared" si="1"/>
        <v>1114.6192826669708</v>
      </c>
      <c r="I10" s="3">
        <f t="shared" si="0"/>
        <v>1002.5619999999999</v>
      </c>
      <c r="J10" s="3">
        <f t="shared" si="2"/>
        <v>858.98990344855599</v>
      </c>
      <c r="K10" s="3">
        <f t="shared" si="3"/>
        <v>10.053413251460105</v>
      </c>
    </row>
    <row r="11" spans="1:11" x14ac:dyDescent="0.3">
      <c r="A11">
        <v>10</v>
      </c>
      <c r="B11" s="1">
        <v>44927</v>
      </c>
      <c r="C11">
        <v>979</v>
      </c>
      <c r="D11" s="3">
        <f t="shared" si="4"/>
        <v>1090.8333333333333</v>
      </c>
      <c r="E11" s="3">
        <f t="shared" si="5"/>
        <v>1060.8333333333333</v>
      </c>
      <c r="F11" s="3">
        <f t="shared" si="6"/>
        <v>0.92285938727415551</v>
      </c>
      <c r="G11" s="3">
        <v>85.660839102276427</v>
      </c>
      <c r="H11" s="3">
        <f t="shared" si="1"/>
        <v>1142.8793019773061</v>
      </c>
      <c r="I11" s="3">
        <f t="shared" si="0"/>
        <v>1018.48</v>
      </c>
      <c r="J11" s="3">
        <f t="shared" si="2"/>
        <v>872.43851408886485</v>
      </c>
      <c r="K11" s="3">
        <f t="shared" si="3"/>
        <v>10.884727876520445</v>
      </c>
    </row>
    <row r="12" spans="1:11" x14ac:dyDescent="0.3">
      <c r="A12">
        <v>11</v>
      </c>
      <c r="B12" s="1">
        <v>44958</v>
      </c>
      <c r="C12">
        <v>1225</v>
      </c>
      <c r="D12" s="3">
        <f t="shared" si="4"/>
        <v>1162.25</v>
      </c>
      <c r="E12" s="3">
        <f t="shared" si="5"/>
        <v>1126.5416666666665</v>
      </c>
      <c r="F12" s="3">
        <f t="shared" si="6"/>
        <v>1.0873987498613014</v>
      </c>
      <c r="G12" s="3">
        <v>103.23224659119387</v>
      </c>
      <c r="H12" s="3">
        <f t="shared" si="1"/>
        <v>1186.6447165981733</v>
      </c>
      <c r="I12" s="3">
        <f t="shared" si="0"/>
        <v>1034.3979999999999</v>
      </c>
      <c r="J12" s="3">
        <f t="shared" si="2"/>
        <v>1067.8322940943774</v>
      </c>
      <c r="K12" s="3">
        <f t="shared" si="3"/>
        <v>12.830016808622252</v>
      </c>
    </row>
    <row r="13" spans="1:11" x14ac:dyDescent="0.3">
      <c r="A13">
        <v>12</v>
      </c>
      <c r="B13" s="1">
        <v>44986</v>
      </c>
      <c r="C13">
        <v>1234</v>
      </c>
      <c r="D13" s="3">
        <f t="shared" si="4"/>
        <v>1220.1666666666667</v>
      </c>
      <c r="E13" s="3">
        <f t="shared" si="5"/>
        <v>1191.2083333333335</v>
      </c>
      <c r="F13" s="3">
        <f t="shared" si="6"/>
        <v>1.0359229074119416</v>
      </c>
      <c r="G13" s="3">
        <v>105.65443958637373</v>
      </c>
      <c r="H13" s="3">
        <f t="shared" si="1"/>
        <v>1167.9584926397633</v>
      </c>
      <c r="I13" s="3">
        <f t="shared" si="0"/>
        <v>1050.316</v>
      </c>
      <c r="J13" s="3">
        <f t="shared" si="2"/>
        <v>1109.705483686017</v>
      </c>
      <c r="K13" s="3">
        <f t="shared" si="3"/>
        <v>10.072489166449188</v>
      </c>
    </row>
    <row r="14" spans="1:11" x14ac:dyDescent="0.3">
      <c r="A14">
        <v>13</v>
      </c>
      <c r="B14" s="1">
        <v>45017</v>
      </c>
      <c r="C14">
        <v>1112</v>
      </c>
      <c r="D14" s="3">
        <f t="shared" si="4"/>
        <v>1226</v>
      </c>
      <c r="E14" s="3">
        <f t="shared" si="5"/>
        <v>1223.0833333333335</v>
      </c>
      <c r="F14" s="3">
        <f t="shared" si="6"/>
        <v>0.90917762485521569</v>
      </c>
      <c r="G14" s="3">
        <v>85.02848835462953</v>
      </c>
      <c r="H14" s="3">
        <f t="shared" si="1"/>
        <v>1307.7969766581828</v>
      </c>
      <c r="I14" s="3">
        <f t="shared" si="0"/>
        <v>1066.2339999999999</v>
      </c>
      <c r="J14" s="3">
        <f t="shared" si="2"/>
        <v>906.60265252310057</v>
      </c>
      <c r="K14" s="3">
        <f t="shared" si="3"/>
        <v>18.470984485332682</v>
      </c>
    </row>
    <row r="15" spans="1:11" x14ac:dyDescent="0.3">
      <c r="A15">
        <v>14</v>
      </c>
      <c r="B15" s="1">
        <v>45047</v>
      </c>
      <c r="C15">
        <v>1120</v>
      </c>
      <c r="D15" s="3">
        <f t="shared" si="4"/>
        <v>1228.6666666666667</v>
      </c>
      <c r="E15" s="3">
        <f t="shared" si="5"/>
        <v>1227.3333333333335</v>
      </c>
      <c r="F15" s="3">
        <f t="shared" si="6"/>
        <v>0.91254752851711018</v>
      </c>
      <c r="G15" s="3">
        <v>85.478106876822665</v>
      </c>
      <c r="H15" s="3">
        <f t="shared" si="1"/>
        <v>1310.2770298995558</v>
      </c>
      <c r="I15" s="3">
        <f t="shared" si="0"/>
        <v>1082.152</v>
      </c>
      <c r="J15" s="3">
        <f t="shared" si="2"/>
        <v>925.0030431296741</v>
      </c>
      <c r="K15" s="3">
        <f t="shared" si="3"/>
        <v>17.41044257770767</v>
      </c>
    </row>
    <row r="16" spans="1:11" x14ac:dyDescent="0.3">
      <c r="A16">
        <v>15</v>
      </c>
      <c r="B16" s="1">
        <v>45078</v>
      </c>
      <c r="C16">
        <v>1157</v>
      </c>
      <c r="D16" s="3">
        <f t="shared" si="4"/>
        <v>1236</v>
      </c>
      <c r="E16" s="3">
        <f t="shared" si="5"/>
        <v>1232.3333333333335</v>
      </c>
      <c r="F16" s="3">
        <f t="shared" si="6"/>
        <v>0.93886935352988898</v>
      </c>
      <c r="G16" s="3">
        <v>88.549036769201223</v>
      </c>
      <c r="H16" s="3">
        <f t="shared" si="1"/>
        <v>1306.6206502230675</v>
      </c>
      <c r="I16" s="3">
        <f t="shared" si="0"/>
        <v>1098.07</v>
      </c>
      <c r="J16" s="3">
        <f t="shared" si="2"/>
        <v>972.33040805156782</v>
      </c>
      <c r="K16" s="3">
        <f t="shared" si="3"/>
        <v>15.961071041351097</v>
      </c>
    </row>
    <row r="17" spans="1:11" x14ac:dyDescent="0.3">
      <c r="A17">
        <v>16</v>
      </c>
      <c r="B17" s="1">
        <v>45108</v>
      </c>
      <c r="C17">
        <v>1506</v>
      </c>
      <c r="D17" s="3">
        <f t="shared" si="4"/>
        <v>1243.9166666666667</v>
      </c>
      <c r="E17" s="3">
        <f t="shared" si="5"/>
        <v>1239.9583333333335</v>
      </c>
      <c r="F17" s="3">
        <f t="shared" si="6"/>
        <v>1.2145569407574177</v>
      </c>
      <c r="G17" s="3">
        <v>117.82993280239563</v>
      </c>
      <c r="H17" s="3">
        <f t="shared" si="1"/>
        <v>1278.1132639068951</v>
      </c>
      <c r="I17" s="3">
        <f t="shared" si="0"/>
        <v>1113.9879999999998</v>
      </c>
      <c r="J17" s="3">
        <f t="shared" si="2"/>
        <v>1312.6113118267508</v>
      </c>
      <c r="K17" s="3">
        <f t="shared" si="3"/>
        <v>12.841214354133413</v>
      </c>
    </row>
    <row r="18" spans="1:11" x14ac:dyDescent="0.3">
      <c r="A18">
        <v>17</v>
      </c>
      <c r="B18" s="1">
        <v>45139</v>
      </c>
      <c r="C18">
        <v>1598</v>
      </c>
      <c r="D18" s="3">
        <f t="shared" si="4"/>
        <v>1252.5833333333333</v>
      </c>
      <c r="E18" s="3">
        <f t="shared" si="5"/>
        <v>1248.25</v>
      </c>
      <c r="F18" s="3">
        <f t="shared" si="6"/>
        <v>1.2801922691768477</v>
      </c>
      <c r="G18" s="3">
        <v>123.51544747222208</v>
      </c>
      <c r="H18" s="3">
        <f t="shared" si="1"/>
        <v>1293.7653003761986</v>
      </c>
      <c r="I18" s="3">
        <f t="shared" si="0"/>
        <v>1129.9059999999999</v>
      </c>
      <c r="J18" s="3">
        <f t="shared" si="2"/>
        <v>1395.6084519154856</v>
      </c>
      <c r="K18" s="3">
        <f t="shared" si="3"/>
        <v>12.665303384512791</v>
      </c>
    </row>
    <row r="19" spans="1:11" x14ac:dyDescent="0.3">
      <c r="A19">
        <v>18</v>
      </c>
      <c r="B19" s="1">
        <v>45170</v>
      </c>
      <c r="C19">
        <v>1667</v>
      </c>
      <c r="D19" s="3">
        <f t="shared" si="4"/>
        <v>1271.5833333333333</v>
      </c>
      <c r="E19" s="3">
        <f t="shared" si="5"/>
        <v>1262.0833333333333</v>
      </c>
      <c r="F19" s="3">
        <f t="shared" si="6"/>
        <v>1.320831957741829</v>
      </c>
      <c r="G19" s="3">
        <v>128.90644190363494</v>
      </c>
      <c r="H19" s="3">
        <f t="shared" si="1"/>
        <v>1293.185953612915</v>
      </c>
      <c r="I19" s="3">
        <f t="shared" si="0"/>
        <v>1145.8240000000001</v>
      </c>
      <c r="J19" s="3">
        <f t="shared" si="2"/>
        <v>1477.0409488779062</v>
      </c>
      <c r="K19" s="3">
        <f t="shared" si="3"/>
        <v>11.395264014522724</v>
      </c>
    </row>
    <row r="20" spans="1:11" x14ac:dyDescent="0.3">
      <c r="A20">
        <v>19</v>
      </c>
      <c r="B20" s="1">
        <v>45200</v>
      </c>
      <c r="C20">
        <v>963</v>
      </c>
      <c r="D20" s="3">
        <f t="shared" si="4"/>
        <v>1269.25</v>
      </c>
      <c r="E20" s="3">
        <f t="shared" si="5"/>
        <v>1270.4166666666665</v>
      </c>
      <c r="F20" s="3">
        <f t="shared" si="6"/>
        <v>0.75801902263037069</v>
      </c>
      <c r="G20" s="3">
        <v>83.584312825274651</v>
      </c>
      <c r="H20" s="3">
        <f t="shared" si="1"/>
        <v>1152.1300677712852</v>
      </c>
      <c r="I20" s="3">
        <f t="shared" si="0"/>
        <v>1161.742</v>
      </c>
      <c r="J20" s="3">
        <f t="shared" si="2"/>
        <v>971.03406750260228</v>
      </c>
      <c r="K20" s="3">
        <f t="shared" si="3"/>
        <v>0.83427492238860679</v>
      </c>
    </row>
    <row r="21" spans="1:11" x14ac:dyDescent="0.3">
      <c r="A21">
        <v>20</v>
      </c>
      <c r="B21" s="1">
        <v>45231</v>
      </c>
      <c r="C21">
        <v>1228</v>
      </c>
      <c r="D21" s="3">
        <f t="shared" si="4"/>
        <v>1266.8333333333333</v>
      </c>
      <c r="E21" s="3">
        <f t="shared" si="5"/>
        <v>1268.0416666666665</v>
      </c>
      <c r="F21" s="3">
        <f t="shared" si="6"/>
        <v>0.96842243617126156</v>
      </c>
      <c r="G21" s="3">
        <v>106.88122819764585</v>
      </c>
      <c r="H21" s="3">
        <f t="shared" si="1"/>
        <v>1148.9388929262395</v>
      </c>
      <c r="I21" s="3">
        <f t="shared" si="0"/>
        <v>1177.6599999999999</v>
      </c>
      <c r="J21" s="3">
        <f t="shared" si="2"/>
        <v>1258.697471992396</v>
      </c>
      <c r="K21" s="3">
        <f t="shared" si="3"/>
        <v>2.4997941361885996</v>
      </c>
    </row>
    <row r="22" spans="1:11" x14ac:dyDescent="0.3">
      <c r="A22">
        <v>21</v>
      </c>
      <c r="B22" s="1">
        <v>45261</v>
      </c>
      <c r="C22">
        <v>1043</v>
      </c>
      <c r="D22" s="3">
        <f t="shared" si="4"/>
        <v>1265.0833333333333</v>
      </c>
      <c r="E22" s="3">
        <f t="shared" si="5"/>
        <v>1265.9583333333333</v>
      </c>
      <c r="F22" s="3">
        <f t="shared" si="6"/>
        <v>0.82388177599315415</v>
      </c>
      <c r="G22" s="3">
        <v>85.679479518329643</v>
      </c>
      <c r="H22" s="3">
        <f t="shared" si="1"/>
        <v>1217.3276563577492</v>
      </c>
      <c r="I22" s="3">
        <f t="shared" si="0"/>
        <v>1193.578</v>
      </c>
      <c r="J22" s="3">
        <f t="shared" si="2"/>
        <v>1022.6514180452886</v>
      </c>
      <c r="K22" s="3">
        <f t="shared" si="3"/>
        <v>1.9509666303654312</v>
      </c>
    </row>
    <row r="23" spans="1:11" x14ac:dyDescent="0.3">
      <c r="A23">
        <v>22</v>
      </c>
      <c r="B23" s="1">
        <v>45292</v>
      </c>
      <c r="C23">
        <v>1074</v>
      </c>
      <c r="D23" s="3">
        <f t="shared" si="4"/>
        <v>1269.1666666666667</v>
      </c>
      <c r="E23" s="3">
        <f t="shared" si="5"/>
        <v>1267.125</v>
      </c>
      <c r="F23" s="3">
        <f t="shared" si="6"/>
        <v>0.84758804379994079</v>
      </c>
      <c r="G23" s="3">
        <v>85.660839102276427</v>
      </c>
      <c r="H23" s="3">
        <f t="shared" si="1"/>
        <v>1253.7817878688729</v>
      </c>
      <c r="I23" s="3">
        <f t="shared" si="0"/>
        <v>1209.4959999999999</v>
      </c>
      <c r="J23" s="3">
        <f t="shared" si="2"/>
        <v>1036.0644225084691</v>
      </c>
      <c r="K23" s="3">
        <f t="shared" si="3"/>
        <v>3.5321766751890991</v>
      </c>
    </row>
    <row r="24" spans="1:11" x14ac:dyDescent="0.3">
      <c r="A24">
        <v>23</v>
      </c>
      <c r="B24" s="1">
        <v>45323</v>
      </c>
      <c r="C24">
        <v>1329</v>
      </c>
      <c r="D24" s="3">
        <f t="shared" si="4"/>
        <v>1271.4166666666667</v>
      </c>
      <c r="E24" s="3">
        <f t="shared" si="5"/>
        <v>1270.2916666666667</v>
      </c>
      <c r="F24" s="3">
        <f t="shared" si="6"/>
        <v>1.0462164201134909</v>
      </c>
      <c r="G24" s="3">
        <v>103.23224659119387</v>
      </c>
      <c r="H24" s="3">
        <f t="shared" si="1"/>
        <v>1287.3884313134467</v>
      </c>
      <c r="I24" s="3">
        <f t="shared" si="0"/>
        <v>1225.414</v>
      </c>
      <c r="J24" s="3">
        <f t="shared" si="2"/>
        <v>1265.0224022430125</v>
      </c>
      <c r="K24" s="3">
        <f t="shared" si="3"/>
        <v>4.8139652187349515</v>
      </c>
    </row>
    <row r="25" spans="1:11" x14ac:dyDescent="0.3">
      <c r="A25">
        <v>24</v>
      </c>
      <c r="B25" s="1">
        <v>45352</v>
      </c>
      <c r="C25">
        <v>1462</v>
      </c>
      <c r="D25" s="3">
        <f t="shared" si="4"/>
        <v>1276.1666666666667</v>
      </c>
      <c r="E25" s="3">
        <f t="shared" si="5"/>
        <v>1273.7916666666667</v>
      </c>
      <c r="F25" s="3">
        <f t="shared" si="6"/>
        <v>1.1477544077720716</v>
      </c>
      <c r="G25" s="3">
        <v>105.65443958637373</v>
      </c>
      <c r="H25" s="3">
        <f t="shared" si="1"/>
        <v>1383.7563340675317</v>
      </c>
      <c r="I25" s="3">
        <f t="shared" si="0"/>
        <v>1241.3319999999999</v>
      </c>
      <c r="J25" s="3">
        <f t="shared" si="2"/>
        <v>1311.5223680063248</v>
      </c>
      <c r="K25" s="3">
        <f t="shared" si="3"/>
        <v>10.292587687665884</v>
      </c>
    </row>
    <row r="26" spans="1:11" x14ac:dyDescent="0.3">
      <c r="A26">
        <v>25</v>
      </c>
      <c r="B26" s="1">
        <v>45383</v>
      </c>
      <c r="C26">
        <v>1084</v>
      </c>
      <c r="D26" s="3">
        <f t="shared" si="4"/>
        <v>1279.8333333333333</v>
      </c>
      <c r="E26" s="3">
        <f t="shared" si="5"/>
        <v>1278</v>
      </c>
      <c r="F26" s="3">
        <f t="shared" si="6"/>
        <v>0.84820031298904541</v>
      </c>
      <c r="G26" s="3">
        <v>85.02848835462953</v>
      </c>
      <c r="H26" s="3">
        <f t="shared" si="1"/>
        <v>1274.8668369581565</v>
      </c>
      <c r="I26" s="3">
        <f t="shared" si="0"/>
        <v>1257.25</v>
      </c>
      <c r="J26" s="3">
        <f t="shared" si="2"/>
        <v>1069.0206698385798</v>
      </c>
      <c r="K26" s="3">
        <f t="shared" si="3"/>
        <v>1.3818570259612724</v>
      </c>
    </row>
    <row r="27" spans="1:11" x14ac:dyDescent="0.3">
      <c r="A27">
        <v>26</v>
      </c>
      <c r="B27" s="1">
        <v>45413</v>
      </c>
      <c r="C27">
        <v>1091</v>
      </c>
      <c r="D27" s="3">
        <f t="shared" si="4"/>
        <v>1274.8333333333333</v>
      </c>
      <c r="E27" s="3">
        <f t="shared" si="5"/>
        <v>1277.3333333333333</v>
      </c>
      <c r="F27" s="3">
        <f t="shared" si="6"/>
        <v>0.85412317327766185</v>
      </c>
      <c r="G27" s="3">
        <v>85.478106876822665</v>
      </c>
      <c r="H27" s="3">
        <f t="shared" si="1"/>
        <v>1276.3502139467996</v>
      </c>
      <c r="I27" s="3">
        <f t="shared" si="0"/>
        <v>1273.1679999999999</v>
      </c>
      <c r="J27" s="3">
        <f t="shared" si="2"/>
        <v>1088.2799037615055</v>
      </c>
      <c r="K27" s="3">
        <f t="shared" si="3"/>
        <v>0.24932137841379784</v>
      </c>
    </row>
    <row r="28" spans="1:11" x14ac:dyDescent="0.3">
      <c r="A28">
        <v>27</v>
      </c>
      <c r="B28" s="1">
        <v>45444</v>
      </c>
      <c r="C28">
        <v>1136</v>
      </c>
      <c r="D28" s="3">
        <f t="shared" si="4"/>
        <v>1274.3333333333333</v>
      </c>
      <c r="E28" s="3">
        <f t="shared" si="5"/>
        <v>1274.5833333333333</v>
      </c>
      <c r="F28" s="3">
        <f t="shared" si="6"/>
        <v>0.89127165740438064</v>
      </c>
      <c r="G28" s="3">
        <v>88.549036769201223</v>
      </c>
      <c r="H28" s="3">
        <f t="shared" si="1"/>
        <v>1282.9049772285259</v>
      </c>
      <c r="I28" s="3">
        <f t="shared" si="0"/>
        <v>1289.086</v>
      </c>
      <c r="J28" s="3">
        <f t="shared" si="2"/>
        <v>1141.4732361266254</v>
      </c>
      <c r="K28" s="3">
        <f t="shared" si="3"/>
        <v>0.48179895480856977</v>
      </c>
    </row>
    <row r="29" spans="1:11" x14ac:dyDescent="0.3">
      <c r="A29">
        <v>28</v>
      </c>
      <c r="B29" s="1">
        <v>45474</v>
      </c>
      <c r="C29">
        <v>1555</v>
      </c>
      <c r="D29" s="3">
        <f t="shared" si="4"/>
        <v>1273.25</v>
      </c>
      <c r="E29" s="3">
        <f t="shared" si="5"/>
        <v>1273.7916666666665</v>
      </c>
      <c r="F29" s="3">
        <f t="shared" si="6"/>
        <v>1.2207647770763144</v>
      </c>
      <c r="G29" s="3">
        <v>117.82993280239563</v>
      </c>
      <c r="H29" s="3">
        <f t="shared" si="1"/>
        <v>1319.6986224271061</v>
      </c>
      <c r="I29" s="3">
        <f t="shared" si="0"/>
        <v>1305.0039999999999</v>
      </c>
      <c r="J29" s="3">
        <f t="shared" si="2"/>
        <v>1537.6853362685752</v>
      </c>
      <c r="K29" s="3">
        <f t="shared" si="3"/>
        <v>1.1134831981623694</v>
      </c>
    </row>
    <row r="30" spans="1:11" x14ac:dyDescent="0.3">
      <c r="A30">
        <v>29</v>
      </c>
      <c r="B30" s="1">
        <v>45505</v>
      </c>
      <c r="C30">
        <v>1625</v>
      </c>
      <c r="D30" s="3">
        <f t="shared" si="4"/>
        <v>1280.5</v>
      </c>
      <c r="E30" s="3">
        <f t="shared" si="5"/>
        <v>1276.875</v>
      </c>
      <c r="F30" s="3">
        <f t="shared" si="6"/>
        <v>1.2726382770435634</v>
      </c>
      <c r="G30" s="3">
        <v>123.51544747222208</v>
      </c>
      <c r="H30" s="3">
        <f t="shared" si="1"/>
        <v>1315.6249143374987</v>
      </c>
      <c r="I30" s="3">
        <f t="shared" si="0"/>
        <v>1320.922</v>
      </c>
      <c r="J30" s="3">
        <f t="shared" si="2"/>
        <v>1631.5427190590253</v>
      </c>
      <c r="K30" s="3">
        <f t="shared" si="3"/>
        <v>0.40262886517078955</v>
      </c>
    </row>
    <row r="31" spans="1:11" x14ac:dyDescent="0.3">
      <c r="A31">
        <v>30</v>
      </c>
      <c r="B31" s="1">
        <v>45536</v>
      </c>
      <c r="C31">
        <v>1724</v>
      </c>
      <c r="D31" s="3">
        <f t="shared" si="4"/>
        <v>1286.0833333333333</v>
      </c>
      <c r="E31" s="3">
        <f t="shared" si="5"/>
        <v>1283.2916666666665</v>
      </c>
      <c r="F31" s="3">
        <f t="shared" si="6"/>
        <v>1.3434202409169131</v>
      </c>
      <c r="G31" s="3">
        <v>128.90644190363494</v>
      </c>
      <c r="H31" s="3">
        <f t="shared" si="1"/>
        <v>1337.4040696032787</v>
      </c>
      <c r="I31" s="3">
        <f t="shared" si="0"/>
        <v>1336.84</v>
      </c>
      <c r="J31" s="3">
        <f t="shared" si="2"/>
        <v>1723.2728779445533</v>
      </c>
      <c r="K31" s="3">
        <f t="shared" si="3"/>
        <v>4.2176453332173486E-2</v>
      </c>
    </row>
    <row r="32" spans="1:11" x14ac:dyDescent="0.3">
      <c r="A32">
        <v>31</v>
      </c>
      <c r="B32" s="1">
        <v>45566</v>
      </c>
      <c r="C32">
        <v>1007</v>
      </c>
      <c r="E32" s="3"/>
      <c r="F32" s="3"/>
      <c r="G32" s="3">
        <v>83.584312825274651</v>
      </c>
      <c r="H32" s="3">
        <f t="shared" si="1"/>
        <v>1204.7715246580315</v>
      </c>
      <c r="I32" s="3">
        <f t="shared" si="0"/>
        <v>1352.7579999999998</v>
      </c>
      <c r="J32" s="3">
        <f t="shared" si="2"/>
        <v>1130.6934784889286</v>
      </c>
      <c r="K32" s="3">
        <f t="shared" si="3"/>
        <v>12.283364298801249</v>
      </c>
    </row>
    <row r="33" spans="1:11" x14ac:dyDescent="0.3">
      <c r="A33">
        <v>32</v>
      </c>
      <c r="B33" s="1">
        <v>45597</v>
      </c>
      <c r="C33">
        <v>1168</v>
      </c>
      <c r="G33" s="3">
        <v>106.88122819764585</v>
      </c>
      <c r="H33" s="3">
        <f t="shared" si="1"/>
        <v>1092.8018134673027</v>
      </c>
      <c r="I33" s="3">
        <f t="shared" si="0"/>
        <v>1368.6759999999999</v>
      </c>
      <c r="J33" s="3">
        <f t="shared" si="2"/>
        <v>1462.8577188464112</v>
      </c>
      <c r="K33" s="3">
        <f t="shared" si="3"/>
        <v>25.244667709453019</v>
      </c>
    </row>
    <row r="34" spans="1:11" x14ac:dyDescent="0.3">
      <c r="A34">
        <v>33</v>
      </c>
      <c r="B34" s="1">
        <v>45627</v>
      </c>
      <c r="C34">
        <v>1037</v>
      </c>
      <c r="G34" s="3">
        <v>85.679479518329643</v>
      </c>
      <c r="H34" s="3">
        <f t="shared" si="1"/>
        <v>1210.3248126970143</v>
      </c>
      <c r="I34" s="3">
        <f t="shared" si="0"/>
        <v>1384.5940000000001</v>
      </c>
      <c r="J34" s="3">
        <f t="shared" si="2"/>
        <v>1186.3129326420212</v>
      </c>
      <c r="K34" s="3">
        <f t="shared" si="3"/>
        <v>14.398547024302916</v>
      </c>
    </row>
    <row r="35" spans="1:11" x14ac:dyDescent="0.3">
      <c r="A35">
        <v>34</v>
      </c>
      <c r="B35" s="1">
        <v>45658</v>
      </c>
      <c r="C35">
        <v>1061</v>
      </c>
      <c r="G35" s="3">
        <v>85.660839102276427</v>
      </c>
      <c r="H35" s="3">
        <f t="shared" si="1"/>
        <v>1238.6056582205531</v>
      </c>
      <c r="I35" s="3">
        <f t="shared" si="0"/>
        <v>1400.5119999999999</v>
      </c>
      <c r="J35" s="3">
        <f t="shared" si="2"/>
        <v>1199.6903309280735</v>
      </c>
      <c r="K35" s="3">
        <f t="shared" si="3"/>
        <v>13.071661727433886</v>
      </c>
    </row>
    <row r="36" spans="1:11" x14ac:dyDescent="0.3">
      <c r="A36">
        <v>35</v>
      </c>
      <c r="B36" s="1">
        <v>45689</v>
      </c>
      <c r="C36">
        <v>1416</v>
      </c>
      <c r="G36" s="3">
        <v>103.23224659119387</v>
      </c>
      <c r="H36" s="3">
        <f t="shared" si="1"/>
        <v>1371.6644234310313</v>
      </c>
      <c r="I36" s="3">
        <f t="shared" si="0"/>
        <v>1416.4299999999998</v>
      </c>
      <c r="J36" s="3">
        <f t="shared" si="2"/>
        <v>1462.2125103916471</v>
      </c>
      <c r="K36" s="3">
        <f t="shared" si="3"/>
        <v>3.2635953666417463</v>
      </c>
    </row>
    <row r="37" spans="1:11" x14ac:dyDescent="0.3">
      <c r="A37">
        <v>36</v>
      </c>
      <c r="B37" s="1">
        <v>45717</v>
      </c>
      <c r="C37">
        <v>1529</v>
      </c>
      <c r="G37" s="3">
        <v>105.65443958637373</v>
      </c>
      <c r="H37" s="3">
        <f t="shared" si="1"/>
        <v>1447.1706120309548</v>
      </c>
      <c r="I37" s="3">
        <f t="shared" si="0"/>
        <v>1432.348</v>
      </c>
      <c r="J37" s="3">
        <f t="shared" si="2"/>
        <v>1513.3392523266323</v>
      </c>
      <c r="K37" s="3">
        <f t="shared" si="3"/>
        <v>1.024247722260806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Jindal</dc:creator>
  <cp:lastModifiedBy>Vansh Jindal</cp:lastModifiedBy>
  <cp:lastPrinted>2025-04-04T14:59:03Z</cp:lastPrinted>
  <dcterms:created xsi:type="dcterms:W3CDTF">2025-03-16T13:32:04Z</dcterms:created>
  <dcterms:modified xsi:type="dcterms:W3CDTF">2025-05-05T09:55:15Z</dcterms:modified>
</cp:coreProperties>
</file>
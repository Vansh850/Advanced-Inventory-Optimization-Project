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163" documentId="8_{AF111FF2-1C87-4BE1-8E4C-E73B2307F128}" xr6:coauthVersionLast="47" xr6:coauthVersionMax="47" xr10:uidLastSave="{E0CBF9E2-47D3-40D4-8B73-B113B0177B55}"/>
  <bookViews>
    <workbookView xWindow="-108" yWindow="-108" windowWidth="23256" windowHeight="12456" activeTab="2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5" l="1"/>
  <c r="I37" i="5"/>
  <c r="J37" i="5" s="1"/>
  <c r="K37" i="5" s="1"/>
  <c r="H37" i="5"/>
  <c r="I36" i="5"/>
  <c r="J36" i="5" s="1"/>
  <c r="K36" i="5" s="1"/>
  <c r="H36" i="5"/>
  <c r="I35" i="5"/>
  <c r="J35" i="5" s="1"/>
  <c r="K35" i="5" s="1"/>
  <c r="H35" i="5"/>
  <c r="I34" i="5"/>
  <c r="J34" i="5" s="1"/>
  <c r="K34" i="5" s="1"/>
  <c r="H34" i="5"/>
  <c r="I33" i="5"/>
  <c r="J33" i="5" s="1"/>
  <c r="K33" i="5" s="1"/>
  <c r="H33" i="5"/>
  <c r="I32" i="5"/>
  <c r="J32" i="5" s="1"/>
  <c r="K32" i="5" s="1"/>
  <c r="H32" i="5"/>
  <c r="I31" i="5"/>
  <c r="J31" i="5" s="1"/>
  <c r="K31" i="5" s="1"/>
  <c r="H31" i="5"/>
  <c r="D31" i="5"/>
  <c r="I30" i="5"/>
  <c r="J30" i="5" s="1"/>
  <c r="K30" i="5" s="1"/>
  <c r="H30" i="5"/>
  <c r="D30" i="5"/>
  <c r="I29" i="5"/>
  <c r="J29" i="5" s="1"/>
  <c r="K29" i="5" s="1"/>
  <c r="H29" i="5"/>
  <c r="D29" i="5"/>
  <c r="E30" i="5" s="1"/>
  <c r="F30" i="5" s="1"/>
  <c r="I28" i="5"/>
  <c r="J28" i="5" s="1"/>
  <c r="K28" i="5" s="1"/>
  <c r="H28" i="5"/>
  <c r="D28" i="5"/>
  <c r="I27" i="5"/>
  <c r="J27" i="5" s="1"/>
  <c r="K27" i="5" s="1"/>
  <c r="H27" i="5"/>
  <c r="D27" i="5"/>
  <c r="I26" i="5"/>
  <c r="J26" i="5" s="1"/>
  <c r="K26" i="5" s="1"/>
  <c r="H26" i="5"/>
  <c r="D26" i="5"/>
  <c r="I25" i="5"/>
  <c r="J25" i="5" s="1"/>
  <c r="K25" i="5" s="1"/>
  <c r="H25" i="5"/>
  <c r="D25" i="5"/>
  <c r="I24" i="5"/>
  <c r="J24" i="5" s="1"/>
  <c r="K24" i="5" s="1"/>
  <c r="H24" i="5"/>
  <c r="D24" i="5"/>
  <c r="E25" i="5" s="1"/>
  <c r="F25" i="5" s="1"/>
  <c r="I23" i="5"/>
  <c r="J23" i="5" s="1"/>
  <c r="K23" i="5" s="1"/>
  <c r="H23" i="5"/>
  <c r="D23" i="5"/>
  <c r="I22" i="5"/>
  <c r="J22" i="5" s="1"/>
  <c r="K22" i="5" s="1"/>
  <c r="H22" i="5"/>
  <c r="D22" i="5"/>
  <c r="I21" i="5"/>
  <c r="J21" i="5" s="1"/>
  <c r="K21" i="5" s="1"/>
  <c r="H21" i="5"/>
  <c r="D21" i="5"/>
  <c r="I20" i="5"/>
  <c r="J20" i="5" s="1"/>
  <c r="K20" i="5" s="1"/>
  <c r="H20" i="5"/>
  <c r="D20" i="5"/>
  <c r="E21" i="5" s="1"/>
  <c r="F21" i="5" s="1"/>
  <c r="I19" i="5"/>
  <c r="J19" i="5" s="1"/>
  <c r="K19" i="5" s="1"/>
  <c r="H19" i="5"/>
  <c r="D19" i="5"/>
  <c r="I18" i="5"/>
  <c r="J18" i="5" s="1"/>
  <c r="K18" i="5" s="1"/>
  <c r="H18" i="5"/>
  <c r="D18" i="5"/>
  <c r="I17" i="5"/>
  <c r="J17" i="5" s="1"/>
  <c r="K17" i="5" s="1"/>
  <c r="H17" i="5"/>
  <c r="D17" i="5"/>
  <c r="I16" i="5"/>
  <c r="J16" i="5" s="1"/>
  <c r="K16" i="5" s="1"/>
  <c r="H16" i="5"/>
  <c r="D16" i="5"/>
  <c r="I15" i="5"/>
  <c r="J15" i="5" s="1"/>
  <c r="K15" i="5" s="1"/>
  <c r="H15" i="5"/>
  <c r="D15" i="5"/>
  <c r="E16" i="5" s="1"/>
  <c r="I14" i="5"/>
  <c r="J14" i="5" s="1"/>
  <c r="K14" i="5" s="1"/>
  <c r="H14" i="5"/>
  <c r="D14" i="5"/>
  <c r="I13" i="5"/>
  <c r="J13" i="5" s="1"/>
  <c r="K13" i="5" s="1"/>
  <c r="H13" i="5"/>
  <c r="D13" i="5"/>
  <c r="I12" i="5"/>
  <c r="J12" i="5" s="1"/>
  <c r="K12" i="5" s="1"/>
  <c r="H12" i="5"/>
  <c r="D12" i="5"/>
  <c r="E13" i="5" s="1"/>
  <c r="F13" i="5" s="1"/>
  <c r="I11" i="5"/>
  <c r="J11" i="5" s="1"/>
  <c r="K11" i="5" s="1"/>
  <c r="H11" i="5"/>
  <c r="D11" i="5"/>
  <c r="I10" i="5"/>
  <c r="J10" i="5" s="1"/>
  <c r="K10" i="5" s="1"/>
  <c r="H10" i="5"/>
  <c r="D10" i="5"/>
  <c r="E11" i="5" s="1"/>
  <c r="F11" i="5" s="1"/>
  <c r="I9" i="5"/>
  <c r="J9" i="5" s="1"/>
  <c r="K9" i="5" s="1"/>
  <c r="H9" i="5"/>
  <c r="D9" i="5"/>
  <c r="I8" i="5"/>
  <c r="J8" i="5" s="1"/>
  <c r="K8" i="5" s="1"/>
  <c r="H8" i="5"/>
  <c r="D8" i="5"/>
  <c r="I7" i="5"/>
  <c r="J7" i="5" s="1"/>
  <c r="K7" i="5" s="1"/>
  <c r="H7" i="5"/>
  <c r="D7" i="5"/>
  <c r="E8" i="5" s="1"/>
  <c r="F8" i="5" s="1"/>
  <c r="I6" i="5"/>
  <c r="J6" i="5" s="1"/>
  <c r="K6" i="5" s="1"/>
  <c r="H6" i="5"/>
  <c r="I5" i="5"/>
  <c r="J5" i="5" s="1"/>
  <c r="K5" i="5" s="1"/>
  <c r="H5" i="5"/>
  <c r="I4" i="5"/>
  <c r="J4" i="5" s="1"/>
  <c r="K4" i="5" s="1"/>
  <c r="H4" i="5"/>
  <c r="I3" i="5"/>
  <c r="J3" i="5" s="1"/>
  <c r="K3" i="5" s="1"/>
  <c r="H3" i="5"/>
  <c r="I2" i="5"/>
  <c r="J2" i="5" s="1"/>
  <c r="K2" i="5" s="1"/>
  <c r="H2" i="5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30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E22" i="5" l="1"/>
  <c r="F22" i="5" s="1"/>
  <c r="E27" i="5"/>
  <c r="F27" i="5" s="1"/>
  <c r="E17" i="5"/>
  <c r="F17" i="5" s="1"/>
  <c r="E31" i="5"/>
  <c r="F31" i="5" s="1"/>
  <c r="E12" i="5"/>
  <c r="F12" i="5" s="1"/>
  <c r="E29" i="5"/>
  <c r="F29" i="5" s="1"/>
  <c r="E9" i="5"/>
  <c r="F9" i="5" s="1"/>
  <c r="E14" i="5"/>
  <c r="F14" i="5" s="1"/>
  <c r="E19" i="5"/>
  <c r="F19" i="5" s="1"/>
  <c r="E24" i="5"/>
  <c r="F24" i="5" s="1"/>
  <c r="E28" i="5"/>
  <c r="F28" i="5" s="1"/>
  <c r="E20" i="5"/>
  <c r="F20" i="5" s="1"/>
  <c r="E15" i="5"/>
  <c r="F15" i="5" s="1"/>
  <c r="E23" i="5"/>
  <c r="F23" i="5" s="1"/>
  <c r="E10" i="5"/>
  <c r="F10" i="5" s="1"/>
  <c r="E18" i="5"/>
  <c r="F18" i="5" s="1"/>
  <c r="E26" i="5"/>
  <c r="F26" i="5" s="1"/>
  <c r="J28" i="3"/>
  <c r="K28" i="3" s="1"/>
  <c r="J29" i="3"/>
  <c r="K29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2" i="3"/>
  <c r="K42" i="3" s="1"/>
  <c r="J43" i="3"/>
  <c r="K43" i="3" s="1"/>
  <c r="J52" i="3"/>
  <c r="K52" i="3" s="1"/>
  <c r="J53" i="3"/>
  <c r="K53" i="3" s="1"/>
  <c r="J54" i="3"/>
  <c r="K54" i="3" s="1"/>
  <c r="J55" i="3"/>
  <c r="K55" i="3" s="1"/>
  <c r="J66" i="3"/>
  <c r="J67" i="3"/>
  <c r="J68" i="3"/>
  <c r="J69" i="3"/>
  <c r="J70" i="3"/>
  <c r="J60" i="3"/>
  <c r="J63" i="3"/>
  <c r="J65" i="3"/>
  <c r="J25" i="3"/>
  <c r="K25" i="3" s="1"/>
  <c r="J41" i="3"/>
  <c r="K41" i="3" s="1"/>
  <c r="J56" i="3"/>
  <c r="K56" i="3" s="1"/>
  <c r="J64" i="3"/>
  <c r="J11" i="3"/>
  <c r="J10" i="3"/>
  <c r="J26" i="3"/>
  <c r="K26" i="3" s="1"/>
  <c r="J27" i="3"/>
  <c r="K27" i="3" s="1"/>
  <c r="J30" i="3"/>
  <c r="K30" i="3" s="1"/>
  <c r="J31" i="3"/>
  <c r="K31" i="3" s="1"/>
  <c r="J40" i="3"/>
  <c r="K40" i="3" s="1"/>
  <c r="J58" i="3"/>
  <c r="K58" i="3" s="1"/>
  <c r="J59" i="3"/>
  <c r="K59" i="3" s="1"/>
  <c r="J71" i="3"/>
  <c r="J24" i="3"/>
  <c r="K24" i="3" s="1"/>
  <c r="H25" i="3"/>
  <c r="H26" i="3"/>
  <c r="H27" i="3"/>
  <c r="H28" i="3"/>
  <c r="H29" i="3"/>
  <c r="H30" i="3"/>
  <c r="H31" i="3"/>
  <c r="H32" i="3"/>
  <c r="H33" i="3"/>
  <c r="H34" i="3"/>
  <c r="H35" i="3"/>
  <c r="H24" i="3"/>
  <c r="J44" i="3"/>
  <c r="K44" i="3" s="1"/>
  <c r="J45" i="3"/>
  <c r="K45" i="3" s="1"/>
  <c r="J46" i="3"/>
  <c r="K46" i="3" s="1"/>
  <c r="J47" i="3"/>
  <c r="K47" i="3" s="1"/>
  <c r="J48" i="3"/>
  <c r="K48" i="3" s="1"/>
  <c r="J49" i="3"/>
  <c r="K49" i="3" s="1"/>
  <c r="J50" i="3"/>
  <c r="K50" i="3" s="1"/>
  <c r="J51" i="3"/>
  <c r="K51" i="3" s="1"/>
  <c r="J57" i="3"/>
  <c r="K57" i="3" s="1"/>
  <c r="J61" i="3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7" i="3"/>
  <c r="F41" i="3"/>
  <c r="F39" i="3" l="1"/>
  <c r="K72" i="3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3" i="3" s="1"/>
  <c r="N4" i="3" l="1"/>
  <c r="N9" i="3"/>
  <c r="N13" i="3"/>
  <c r="N12" i="3"/>
  <c r="N8" i="3"/>
  <c r="N11" i="3"/>
  <c r="N7" i="3"/>
  <c r="N10" i="3"/>
  <c r="N5" i="3"/>
  <c r="N14" i="3"/>
  <c r="N6" i="3"/>
</calcChain>
</file>

<file path=xl/sharedStrings.xml><?xml version="1.0" encoding="utf-8"?>
<sst xmlns="http://schemas.openxmlformats.org/spreadsheetml/2006/main" count="100" uniqueCount="55">
  <si>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</si>
  <si>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</si>
  <si>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</si>
  <si>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</si>
  <si>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</si>
  <si>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</si>
  <si>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</si>
  <si>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</si>
  <si>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</si>
  <si>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</si>
  <si>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</si>
  <si>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</si>
  <si>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</si>
  <si>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</si>
  <si>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</si>
  <si>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</si>
  <si>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</si>
  <si>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</si>
  <si>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</si>
  <si>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</si>
  <si>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</si>
  <si>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</si>
  <si>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</si>
  <si>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</si>
  <si>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</si>
  <si>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</si>
  <si>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</si>
  <si>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</si>
  <si>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</si>
  <si>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</si>
  <si>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</si>
  <si>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</si>
  <si>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</si>
  <si>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</si>
  <si>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</si>
  <si>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</si>
  <si>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</si>
  <si>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</si>
  <si>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</si>
  <si>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</si>
  <si>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</si>
  <si>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</si>
  <si>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</si>
  <si>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</si>
  <si>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</si>
  <si>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</si>
  <si>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</si>
  <si>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</si>
  <si>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</si>
  <si>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Ratio</t>
  </si>
  <si>
    <t>Ratio to Moving Average</t>
  </si>
  <si>
    <t>Centered Moving Average</t>
  </si>
  <si>
    <t>12 point Moving Average</t>
  </si>
  <si>
    <t>Error %</t>
  </si>
  <si>
    <t>Adjusted Seasonal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</si>
</sst>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Sheet4!$F$4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Sheet4!$E$5:$E$16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Sheet4!$F$5:$F$16</c:f>
              <c:numCache>
                <c:formatCode>General</c:formatCode>
                <c:ptCount val="12"/>
                <c:pt idx="0">
                  <c:v>642</c:v>
                </c:pt>
                <c:pt idx="1">
                  <c:v>559</c:v>
                </c:pt>
                <c:pt idx="2">
                  <c:v>712</c:v>
                </c:pt>
                <c:pt idx="3">
                  <c:v>596</c:v>
                </c:pt>
                <c:pt idx="4">
                  <c:v>671</c:v>
                </c:pt>
                <c:pt idx="5">
                  <c:v>858</c:v>
                </c:pt>
                <c:pt idx="6">
                  <c:v>762</c:v>
                </c:pt>
                <c:pt idx="7">
                  <c:v>852</c:v>
                </c:pt>
                <c:pt idx="8">
                  <c:v>1066</c:v>
                </c:pt>
                <c:pt idx="9">
                  <c:v>1073</c:v>
                </c:pt>
                <c:pt idx="10">
                  <c:v>918</c:v>
                </c:pt>
                <c:pt idx="11">
                  <c:v>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E-4338-8AF8-17F5C3828DE7}"/>
            </c:ext>
          </c:extLst>
        </c:ser>
        <c:ser>
          <c:idx val="1"/>
          <c:order val="1"/>
          <c:tx>
            <c:strRef>
              <c:f>Sheet4!$G$4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Sheet4!$E$5:$E$16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Sheet4!$G$5:$G$16</c:f>
              <c:numCache>
                <c:formatCode>General</c:formatCode>
                <c:ptCount val="12"/>
                <c:pt idx="0">
                  <c:v>1146</c:v>
                </c:pt>
                <c:pt idx="1">
                  <c:v>1159</c:v>
                </c:pt>
                <c:pt idx="2">
                  <c:v>1330</c:v>
                </c:pt>
                <c:pt idx="3">
                  <c:v>1340</c:v>
                </c:pt>
                <c:pt idx="4">
                  <c:v>1355</c:v>
                </c:pt>
                <c:pt idx="5">
                  <c:v>1378</c:v>
                </c:pt>
                <c:pt idx="6">
                  <c:v>841</c:v>
                </c:pt>
                <c:pt idx="7">
                  <c:v>866</c:v>
                </c:pt>
                <c:pt idx="8">
                  <c:v>1069</c:v>
                </c:pt>
                <c:pt idx="9">
                  <c:v>1142</c:v>
                </c:pt>
                <c:pt idx="10">
                  <c:v>902</c:v>
                </c:pt>
                <c:pt idx="11">
                  <c:v>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E-4338-8AF8-17F5C3828DE7}"/>
            </c:ext>
          </c:extLst>
        </c:ser>
        <c:ser>
          <c:idx val="2"/>
          <c:order val="2"/>
          <c:tx>
            <c:strRef>
              <c:f>Sheet4!$H$4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Sheet4!$E$5:$E$16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Sheet4!$H$5:$H$16</c:f>
              <c:numCache>
                <c:formatCode>General</c:formatCode>
                <c:ptCount val="12"/>
                <c:pt idx="0">
                  <c:v>1132</c:v>
                </c:pt>
                <c:pt idx="1">
                  <c:v>1186</c:v>
                </c:pt>
                <c:pt idx="2">
                  <c:v>1190</c:v>
                </c:pt>
                <c:pt idx="3">
                  <c:v>1242</c:v>
                </c:pt>
                <c:pt idx="4">
                  <c:v>1316</c:v>
                </c:pt>
                <c:pt idx="5">
                  <c:v>1560</c:v>
                </c:pt>
                <c:pt idx="6">
                  <c:v>1020</c:v>
                </c:pt>
                <c:pt idx="7">
                  <c:v>1028</c:v>
                </c:pt>
                <c:pt idx="8">
                  <c:v>1123</c:v>
                </c:pt>
                <c:pt idx="9">
                  <c:v>1130</c:v>
                </c:pt>
                <c:pt idx="10">
                  <c:v>1078</c:v>
                </c:pt>
                <c:pt idx="11">
                  <c:v>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E-4338-8AF8-17F5C3828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339040"/>
        <c:axId val="1095341440"/>
      </c:lineChart>
      <c:catAx>
        <c:axId val="109533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41440"/>
        <c:crosses val="autoZero"/>
        <c:auto val="1"/>
        <c:lblAlgn val="ctr"/>
        <c:lblOffset val="100"/>
        <c:noMultiLvlLbl val="0"/>
      </c:catAx>
      <c:valAx>
        <c:axId val="10953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Procured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3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642</c:v>
                </c:pt>
                <c:pt idx="1">
                  <c:v>559</c:v>
                </c:pt>
                <c:pt idx="2">
                  <c:v>712</c:v>
                </c:pt>
                <c:pt idx="3">
                  <c:v>596</c:v>
                </c:pt>
                <c:pt idx="4">
                  <c:v>671</c:v>
                </c:pt>
                <c:pt idx="5">
                  <c:v>858</c:v>
                </c:pt>
                <c:pt idx="6">
                  <c:v>762</c:v>
                </c:pt>
                <c:pt idx="7">
                  <c:v>852</c:v>
                </c:pt>
                <c:pt idx="8">
                  <c:v>1066</c:v>
                </c:pt>
                <c:pt idx="9">
                  <c:v>1073</c:v>
                </c:pt>
                <c:pt idx="10">
                  <c:v>918</c:v>
                </c:pt>
                <c:pt idx="11">
                  <c:v>1039</c:v>
                </c:pt>
                <c:pt idx="12">
                  <c:v>1146</c:v>
                </c:pt>
                <c:pt idx="13">
                  <c:v>1159</c:v>
                </c:pt>
                <c:pt idx="14">
                  <c:v>1330</c:v>
                </c:pt>
                <c:pt idx="15">
                  <c:v>1340</c:v>
                </c:pt>
                <c:pt idx="16">
                  <c:v>1355</c:v>
                </c:pt>
                <c:pt idx="17">
                  <c:v>1378</c:v>
                </c:pt>
                <c:pt idx="18">
                  <c:v>841</c:v>
                </c:pt>
                <c:pt idx="19">
                  <c:v>866</c:v>
                </c:pt>
                <c:pt idx="20">
                  <c:v>1069</c:v>
                </c:pt>
                <c:pt idx="21">
                  <c:v>1142</c:v>
                </c:pt>
                <c:pt idx="22">
                  <c:v>902</c:v>
                </c:pt>
                <c:pt idx="23">
                  <c:v>946</c:v>
                </c:pt>
                <c:pt idx="24">
                  <c:v>1132</c:v>
                </c:pt>
                <c:pt idx="25">
                  <c:v>1186</c:v>
                </c:pt>
                <c:pt idx="26">
                  <c:v>1190</c:v>
                </c:pt>
                <c:pt idx="27">
                  <c:v>1242</c:v>
                </c:pt>
                <c:pt idx="28">
                  <c:v>1316</c:v>
                </c:pt>
                <c:pt idx="29">
                  <c:v>1560</c:v>
                </c:pt>
                <c:pt idx="30">
                  <c:v>1020</c:v>
                </c:pt>
                <c:pt idx="31">
                  <c:v>1028</c:v>
                </c:pt>
                <c:pt idx="32">
                  <c:v>1123</c:v>
                </c:pt>
                <c:pt idx="33">
                  <c:v>1130</c:v>
                </c:pt>
                <c:pt idx="34">
                  <c:v>1078</c:v>
                </c:pt>
                <c:pt idx="35">
                  <c:v>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648.58515549232175</c:v>
                </c:pt>
                <c:pt idx="1">
                  <c:v>553.03938708660837</c:v>
                </c:pt>
                <c:pt idx="2">
                  <c:v>657.89514221736113</c:v>
                </c:pt>
                <c:pt idx="3">
                  <c:v>538.71245305502771</c:v>
                </c:pt>
                <c:pt idx="4">
                  <c:v>588.69944520003457</c:v>
                </c:pt>
                <c:pt idx="5">
                  <c:v>687.99578603122404</c:v>
                </c:pt>
                <c:pt idx="6">
                  <c:v>939.02106041240177</c:v>
                </c:pt>
                <c:pt idx="7">
                  <c:v>1003.8220100028657</c:v>
                </c:pt>
                <c:pt idx="8">
                  <c:v>1039.6670286492372</c:v>
                </c:pt>
                <c:pt idx="9">
                  <c:v>1038.7792865745209</c:v>
                </c:pt>
                <c:pt idx="10">
                  <c:v>1110.0887518221657</c:v>
                </c:pt>
                <c:pt idx="11">
                  <c:v>1182.8039621349494</c:v>
                </c:pt>
                <c:pt idx="12">
                  <c:v>1157.7548102713408</c:v>
                </c:pt>
                <c:pt idx="13">
                  <c:v>1146.6415914729498</c:v>
                </c:pt>
                <c:pt idx="14">
                  <c:v>1228.9333415015312</c:v>
                </c:pt>
                <c:pt idx="15">
                  <c:v>1211.1991394190222</c:v>
                </c:pt>
                <c:pt idx="16">
                  <c:v>1188.8043938093097</c:v>
                </c:pt>
                <c:pt idx="17">
                  <c:v>1104.9629290804507</c:v>
                </c:pt>
                <c:pt idx="18">
                  <c:v>1036.3736375417716</c:v>
                </c:pt>
                <c:pt idx="19">
                  <c:v>1020.3167378667624</c:v>
                </c:pt>
                <c:pt idx="20">
                  <c:v>1042.5929208499385</c:v>
                </c:pt>
                <c:pt idx="21">
                  <c:v>1105.5787001566664</c:v>
                </c:pt>
                <c:pt idx="22">
                  <c:v>1090.7407997206899</c:v>
                </c:pt>
                <c:pt idx="23">
                  <c:v>1076.9321926656999</c:v>
                </c:pt>
                <c:pt idx="24">
                  <c:v>1143.6112087497013</c:v>
                </c:pt>
                <c:pt idx="25">
                  <c:v>1173.3536906703353</c:v>
                </c:pt>
                <c:pt idx="26">
                  <c:v>1099.571937132949</c:v>
                </c:pt>
                <c:pt idx="27">
                  <c:v>1122.6189038495713</c:v>
                </c:pt>
                <c:pt idx="28">
                  <c:v>1154.5878835815877</c:v>
                </c:pt>
                <c:pt idx="29">
                  <c:v>1250.9014291476801</c:v>
                </c:pt>
                <c:pt idx="30">
                  <c:v>1256.9573249614828</c:v>
                </c:pt>
                <c:pt idx="31">
                  <c:v>1211.1843031489975</c:v>
                </c:pt>
                <c:pt idx="32">
                  <c:v>1095.2589804625641</c:v>
                </c:pt>
                <c:pt idx="33">
                  <c:v>1093.9614108380324</c:v>
                </c:pt>
                <c:pt idx="34">
                  <c:v>1303.568272836922</c:v>
                </c:pt>
                <c:pt idx="35">
                  <c:v>1265.9076091376937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ACEB405938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Sheet3!$C$24:$C$59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Sheet3!$D$24:$D$59</c:f>
              <c:numCache>
                <c:formatCode>General</c:formatCode>
                <c:ptCount val="36"/>
                <c:pt idx="0">
                  <c:v>642</c:v>
                </c:pt>
                <c:pt idx="1">
                  <c:v>559</c:v>
                </c:pt>
                <c:pt idx="2">
                  <c:v>712</c:v>
                </c:pt>
                <c:pt idx="3">
                  <c:v>596</c:v>
                </c:pt>
                <c:pt idx="4">
                  <c:v>671</c:v>
                </c:pt>
                <c:pt idx="5">
                  <c:v>858</c:v>
                </c:pt>
                <c:pt idx="6">
                  <c:v>762</c:v>
                </c:pt>
                <c:pt idx="7">
                  <c:v>852</c:v>
                </c:pt>
                <c:pt idx="8">
                  <c:v>1066</c:v>
                </c:pt>
                <c:pt idx="9">
                  <c:v>1073</c:v>
                </c:pt>
                <c:pt idx="10">
                  <c:v>918</c:v>
                </c:pt>
                <c:pt idx="11">
                  <c:v>1039</c:v>
                </c:pt>
                <c:pt idx="12">
                  <c:v>1146</c:v>
                </c:pt>
                <c:pt idx="13">
                  <c:v>1159</c:v>
                </c:pt>
                <c:pt idx="14">
                  <c:v>1330</c:v>
                </c:pt>
                <c:pt idx="15">
                  <c:v>1340</c:v>
                </c:pt>
                <c:pt idx="16">
                  <c:v>1355</c:v>
                </c:pt>
                <c:pt idx="17">
                  <c:v>1378</c:v>
                </c:pt>
                <c:pt idx="18">
                  <c:v>841</c:v>
                </c:pt>
                <c:pt idx="19">
                  <c:v>866</c:v>
                </c:pt>
                <c:pt idx="20">
                  <c:v>1069</c:v>
                </c:pt>
                <c:pt idx="21">
                  <c:v>1142</c:v>
                </c:pt>
                <c:pt idx="22">
                  <c:v>902</c:v>
                </c:pt>
                <c:pt idx="23">
                  <c:v>946</c:v>
                </c:pt>
                <c:pt idx="24">
                  <c:v>1132</c:v>
                </c:pt>
                <c:pt idx="25">
                  <c:v>1186</c:v>
                </c:pt>
                <c:pt idx="26">
                  <c:v>1190</c:v>
                </c:pt>
                <c:pt idx="27">
                  <c:v>1242</c:v>
                </c:pt>
                <c:pt idx="28">
                  <c:v>1316</c:v>
                </c:pt>
                <c:pt idx="29">
                  <c:v>1560</c:v>
                </c:pt>
                <c:pt idx="30">
                  <c:v>1020</c:v>
                </c:pt>
                <c:pt idx="31">
                  <c:v>1028</c:v>
                </c:pt>
                <c:pt idx="32">
                  <c:v>1123</c:v>
                </c:pt>
                <c:pt idx="33">
                  <c:v>1130</c:v>
                </c:pt>
                <c:pt idx="34">
                  <c:v>1078</c:v>
                </c:pt>
                <c:pt idx="35">
                  <c:v>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2-4542-8C77-A37C6113B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684544"/>
        <c:axId val="971685984"/>
      </c:lineChart>
      <c:dateAx>
        <c:axId val="97168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85984"/>
        <c:crosses val="autoZero"/>
        <c:auto val="1"/>
        <c:lblOffset val="100"/>
        <c:baseTimeUnit val="months"/>
      </c:dateAx>
      <c:valAx>
        <c:axId val="9716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Sheet3!$C$24:$C$59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Sheet3!$D$24:$D$59</c:f>
              <c:numCache>
                <c:formatCode>General</c:formatCode>
                <c:ptCount val="36"/>
                <c:pt idx="0">
                  <c:v>642</c:v>
                </c:pt>
                <c:pt idx="1">
                  <c:v>559</c:v>
                </c:pt>
                <c:pt idx="2">
                  <c:v>712</c:v>
                </c:pt>
                <c:pt idx="3">
                  <c:v>596</c:v>
                </c:pt>
                <c:pt idx="4">
                  <c:v>671</c:v>
                </c:pt>
                <c:pt idx="5">
                  <c:v>858</c:v>
                </c:pt>
                <c:pt idx="6">
                  <c:v>762</c:v>
                </c:pt>
                <c:pt idx="7">
                  <c:v>852</c:v>
                </c:pt>
                <c:pt idx="8">
                  <c:v>1066</c:v>
                </c:pt>
                <c:pt idx="9">
                  <c:v>1073</c:v>
                </c:pt>
                <c:pt idx="10">
                  <c:v>918</c:v>
                </c:pt>
                <c:pt idx="11">
                  <c:v>1039</c:v>
                </c:pt>
                <c:pt idx="12">
                  <c:v>1146</c:v>
                </c:pt>
                <c:pt idx="13">
                  <c:v>1159</c:v>
                </c:pt>
                <c:pt idx="14">
                  <c:v>1330</c:v>
                </c:pt>
                <c:pt idx="15">
                  <c:v>1340</c:v>
                </c:pt>
                <c:pt idx="16">
                  <c:v>1355</c:v>
                </c:pt>
                <c:pt idx="17">
                  <c:v>1378</c:v>
                </c:pt>
                <c:pt idx="18">
                  <c:v>841</c:v>
                </c:pt>
                <c:pt idx="19">
                  <c:v>866</c:v>
                </c:pt>
                <c:pt idx="20">
                  <c:v>1069</c:v>
                </c:pt>
                <c:pt idx="21">
                  <c:v>1142</c:v>
                </c:pt>
                <c:pt idx="22">
                  <c:v>902</c:v>
                </c:pt>
                <c:pt idx="23">
                  <c:v>946</c:v>
                </c:pt>
                <c:pt idx="24">
                  <c:v>1132</c:v>
                </c:pt>
                <c:pt idx="25">
                  <c:v>1186</c:v>
                </c:pt>
                <c:pt idx="26">
                  <c:v>1190</c:v>
                </c:pt>
                <c:pt idx="27">
                  <c:v>1242</c:v>
                </c:pt>
                <c:pt idx="28">
                  <c:v>1316</c:v>
                </c:pt>
                <c:pt idx="29">
                  <c:v>1560</c:v>
                </c:pt>
                <c:pt idx="30">
                  <c:v>1020</c:v>
                </c:pt>
                <c:pt idx="31">
                  <c:v>1028</c:v>
                </c:pt>
                <c:pt idx="32">
                  <c:v>1123</c:v>
                </c:pt>
                <c:pt idx="33">
                  <c:v>1130</c:v>
                </c:pt>
                <c:pt idx="34">
                  <c:v>1078</c:v>
                </c:pt>
                <c:pt idx="35">
                  <c:v>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F-42EA-B711-A79415DE962F}"/>
            </c:ext>
          </c:extLst>
        </c:ser>
        <c:ser>
          <c:idx val="1"/>
          <c:order val="1"/>
          <c:tx>
            <c:strRef>
              <c:f>Sheet3!$J$23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Sheet3!$C$24:$C$59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Sheet3!$J$24:$J$59</c:f>
              <c:numCache>
                <c:formatCode>0.00</c:formatCode>
                <c:ptCount val="36"/>
                <c:pt idx="0">
                  <c:v>772.71308748899207</c:v>
                </c:pt>
                <c:pt idx="1">
                  <c:v>804.24364409753298</c:v>
                </c:pt>
                <c:pt idx="2">
                  <c:v>877.36818067170691</c:v>
                </c:pt>
                <c:pt idx="3">
                  <c:v>913.53502821240738</c:v>
                </c:pt>
                <c:pt idx="4">
                  <c:v>958.29308078982194</c:v>
                </c:pt>
                <c:pt idx="5">
                  <c:v>1067.2487926643728</c:v>
                </c:pt>
                <c:pt idx="6">
                  <c:v>706.65029143071195</c:v>
                </c:pt>
                <c:pt idx="7">
                  <c:v>751.86375321442233</c:v>
                </c:pt>
                <c:pt idx="8">
                  <c:v>923.68850750964396</c:v>
                </c:pt>
                <c:pt idx="9">
                  <c:v>946.07267655552891</c:v>
                </c:pt>
                <c:pt idx="10">
                  <c:v>769.84188930589619</c:v>
                </c:pt>
                <c:pt idx="11">
                  <c:v>830.94950090120165</c:v>
                </c:pt>
                <c:pt idx="12">
                  <c:v>951.22999466691272</c:v>
                </c:pt>
                <c:pt idx="13">
                  <c:v>986.53541997101536</c:v>
                </c:pt>
                <c:pt idx="14">
                  <c:v>1072.547879927756</c:v>
                </c:pt>
                <c:pt idx="15">
                  <c:v>1113.061524008896</c:v>
                </c:pt>
                <c:pt idx="16">
                  <c:v>1163.8538452625671</c:v>
                </c:pt>
                <c:pt idx="17">
                  <c:v>1292.1609027989796</c:v>
                </c:pt>
                <c:pt idx="18">
                  <c:v>852.99969912093502</c:v>
                </c:pt>
                <c:pt idx="19">
                  <c:v>904.93520858085878</c:v>
                </c:pt>
                <c:pt idx="20">
                  <c:v>1108.6044110655907</c:v>
                </c:pt>
                <c:pt idx="21">
                  <c:v>1132.3619167252382</c:v>
                </c:pt>
                <c:pt idx="22">
                  <c:v>918.98263478975127</c:v>
                </c:pt>
                <c:pt idx="23">
                  <c:v>989.37099592373954</c:v>
                </c:pt>
                <c:pt idx="24">
                  <c:v>1129.7469018448332</c:v>
                </c:pt>
                <c:pt idx="25">
                  <c:v>1168.8271958444975</c:v>
                </c:pt>
                <c:pt idx="26">
                  <c:v>1267.7275791838047</c:v>
                </c:pt>
                <c:pt idx="27">
                  <c:v>1312.5880198053844</c:v>
                </c:pt>
                <c:pt idx="28">
                  <c:v>1369.4146097353121</c:v>
                </c:pt>
                <c:pt idx="29">
                  <c:v>1517.0730129335864</c:v>
                </c:pt>
                <c:pt idx="30">
                  <c:v>999.34910681115764</c:v>
                </c:pt>
                <c:pt idx="31">
                  <c:v>1058.006663947295</c:v>
                </c:pt>
                <c:pt idx="32">
                  <c:v>1293.5203146215374</c:v>
                </c:pt>
                <c:pt idx="33">
                  <c:v>1318.651156894947</c:v>
                </c:pt>
                <c:pt idx="34">
                  <c:v>1068.1233802736062</c:v>
                </c:pt>
                <c:pt idx="35">
                  <c:v>1147.7924909462774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F-42EA-B711-A79415DE9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775904"/>
        <c:axId val="1517915664"/>
      </c:lineChart>
      <c:dateAx>
        <c:axId val="150477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15664"/>
        <c:crosses val="autoZero"/>
        <c:auto val="1"/>
        <c:lblOffset val="100"/>
        <c:baseTimeUnit val="months"/>
      </c:dateAx>
      <c:valAx>
        <c:axId val="15179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Demnad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7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259080</xdr:colOff>
      <xdr:row>4</xdr:row>
      <xdr:rowOff>171450</xdr:rowOff>
    </xdr:from>
    <xdr:to>
      <xdr:col>17</xdr:col>
      <xdr:colOff>7620</xdr:colOff>
      <xdr:row>22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E28C48-223C-4D18-4540-F7EFD9CA9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71</xdr:row>
      <xdr:rowOff>60960</xdr:rowOff>
    </xdr:from>
    <xdr:to>
      <xdr:col>7</xdr:col>
      <xdr:colOff>525780</xdr:colOff>
      <xdr:row>87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685800</xdr:colOff>
      <xdr:row>23</xdr:row>
      <xdr:rowOff>102870</xdr:rowOff>
    </xdr:from>
    <xdr:to>
      <xdr:col>20</xdr:col>
      <xdr:colOff>53340</xdr:colOff>
      <xdr:row>38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4EBFF-DE7B-5C30-D7E3-DF46E17B6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464820</xdr:colOff>
      <xdr:row>46</xdr:row>
      <xdr:rowOff>95250</xdr:rowOff>
    </xdr:from>
    <xdr:to>
      <xdr:col>19</xdr:col>
      <xdr:colOff>419100</xdr:colOff>
      <xdr:row>61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7704E7-95C2-0DE9-3006-B1B27D87F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workbookViewId="0">
      <selection sqref="A1:D14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608</v>
      </c>
      <c r="C3">
        <v>787</v>
      </c>
      <c r="D3">
        <v>1041</v>
      </c>
    </row>
    <row r="4" spans="1:4" x14ac:dyDescent="0.3">
      <c r="A4" t="s">
        <v>7</v>
      </c>
      <c r="B4">
        <v>512</v>
      </c>
      <c r="C4">
        <v>754</v>
      </c>
      <c r="D4">
        <v>1054</v>
      </c>
    </row>
    <row r="5" spans="1:4" x14ac:dyDescent="0.3">
      <c r="A5" t="s">
        <v>8</v>
      </c>
      <c r="B5">
        <v>702</v>
      </c>
      <c r="C5">
        <v>851</v>
      </c>
      <c r="D5">
        <v>896</v>
      </c>
    </row>
    <row r="6" spans="1:4" x14ac:dyDescent="0.3">
      <c r="A6" t="s">
        <v>9</v>
      </c>
      <c r="B6">
        <v>866</v>
      </c>
      <c r="C6">
        <v>1152</v>
      </c>
      <c r="D6">
        <v>1359</v>
      </c>
    </row>
    <row r="7" spans="1:4" x14ac:dyDescent="0.3">
      <c r="A7" t="s">
        <v>10</v>
      </c>
      <c r="B7">
        <v>693</v>
      </c>
      <c r="C7">
        <v>836</v>
      </c>
      <c r="D7">
        <v>1098</v>
      </c>
    </row>
    <row r="8" spans="1:4" x14ac:dyDescent="0.3">
      <c r="A8" t="s">
        <v>11</v>
      </c>
      <c r="B8">
        <v>556</v>
      </c>
      <c r="C8">
        <v>761</v>
      </c>
      <c r="D8">
        <v>973</v>
      </c>
    </row>
    <row r="9" spans="1:4" x14ac:dyDescent="0.3">
      <c r="A9" t="s">
        <v>12</v>
      </c>
      <c r="B9">
        <v>879</v>
      </c>
      <c r="C9">
        <v>695</v>
      </c>
      <c r="D9">
        <v>1069</v>
      </c>
    </row>
    <row r="10" spans="1:4" x14ac:dyDescent="0.3">
      <c r="A10" t="s">
        <v>13</v>
      </c>
      <c r="B10">
        <v>785</v>
      </c>
      <c r="C10">
        <v>985</v>
      </c>
      <c r="D10">
        <v>1042</v>
      </c>
    </row>
    <row r="11" spans="1:4" x14ac:dyDescent="0.3">
      <c r="A11" t="s">
        <v>14</v>
      </c>
      <c r="B11">
        <v>456</v>
      </c>
      <c r="C11">
        <v>660</v>
      </c>
      <c r="D11">
        <v>865</v>
      </c>
    </row>
    <row r="12" spans="1:4" x14ac:dyDescent="0.3">
      <c r="A12" t="s">
        <v>15</v>
      </c>
      <c r="B12">
        <v>647</v>
      </c>
      <c r="C12">
        <v>756</v>
      </c>
      <c r="D12">
        <v>936</v>
      </c>
    </row>
    <row r="13" spans="1:4" x14ac:dyDescent="0.3">
      <c r="A13" t="s">
        <v>16</v>
      </c>
      <c r="B13">
        <v>785</v>
      </c>
      <c r="C13">
        <v>865</v>
      </c>
      <c r="D13">
        <v>1002</v>
      </c>
    </row>
    <row r="14" spans="1:4" x14ac:dyDescent="0.3">
      <c r="A14" t="s">
        <v>6</v>
      </c>
      <c r="B14">
        <v>1065</v>
      </c>
      <c r="C14">
        <v>1441</v>
      </c>
      <c r="D14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H36"/>
  <sheetViews>
    <sheetView workbookViewId="0">
      <selection activeCell="H16" sqref="H16"/>
    </sheetView>
  </sheetViews>
  <sheetFormatPr defaultRowHeight="14.4" x14ac:dyDescent="0.3"/>
  <sheetData>
    <row r="1" spans="1:8" x14ac:dyDescent="0.3">
      <c r="A1" s="1">
        <v>44562</v>
      </c>
      <c r="B1">
        <v>647</v>
      </c>
    </row>
    <row r="2" spans="1:8" x14ac:dyDescent="0.3">
      <c r="A2" s="1">
        <v>44593</v>
      </c>
      <c r="B2">
        <v>785</v>
      </c>
    </row>
    <row r="3" spans="1:8" x14ac:dyDescent="0.3">
      <c r="A3" s="1">
        <v>44621</v>
      </c>
      <c r="B3">
        <v>1065</v>
      </c>
      <c r="F3" t="s">
        <v>1</v>
      </c>
    </row>
    <row r="4" spans="1:8" x14ac:dyDescent="0.3">
      <c r="A4" s="1">
        <v>44652</v>
      </c>
      <c r="B4">
        <v>608</v>
      </c>
      <c r="E4" t="s">
        <v>0</v>
      </c>
      <c r="F4" t="s">
        <v>2</v>
      </c>
      <c r="G4" t="s">
        <v>3</v>
      </c>
      <c r="H4" t="s">
        <v>4</v>
      </c>
    </row>
    <row r="5" spans="1:8" x14ac:dyDescent="0.3">
      <c r="A5" s="1">
        <v>44682</v>
      </c>
      <c r="B5">
        <v>512</v>
      </c>
      <c r="E5" t="s">
        <v>5</v>
      </c>
      <c r="F5">
        <v>642</v>
      </c>
      <c r="G5">
        <v>1146</v>
      </c>
      <c r="H5">
        <v>1132</v>
      </c>
    </row>
    <row r="6" spans="1:8" x14ac:dyDescent="0.3">
      <c r="A6" s="1">
        <v>44713</v>
      </c>
      <c r="B6">
        <v>702</v>
      </c>
      <c r="E6" t="s">
        <v>7</v>
      </c>
      <c r="F6">
        <v>559</v>
      </c>
      <c r="G6">
        <v>1159</v>
      </c>
      <c r="H6">
        <v>1186</v>
      </c>
    </row>
    <row r="7" spans="1:8" x14ac:dyDescent="0.3">
      <c r="A7" s="1">
        <v>44743</v>
      </c>
      <c r="B7">
        <v>866</v>
      </c>
      <c r="E7" t="s">
        <v>8</v>
      </c>
      <c r="F7">
        <v>712</v>
      </c>
      <c r="G7">
        <v>1330</v>
      </c>
      <c r="H7">
        <v>1190</v>
      </c>
    </row>
    <row r="8" spans="1:8" x14ac:dyDescent="0.3">
      <c r="A8" s="1">
        <v>44774</v>
      </c>
      <c r="B8">
        <v>693</v>
      </c>
      <c r="E8" t="s">
        <v>9</v>
      </c>
      <c r="F8">
        <v>596</v>
      </c>
      <c r="G8">
        <v>1340</v>
      </c>
      <c r="H8">
        <v>1242</v>
      </c>
    </row>
    <row r="9" spans="1:8" x14ac:dyDescent="0.3">
      <c r="A9" s="1">
        <v>44805</v>
      </c>
      <c r="B9">
        <v>556</v>
      </c>
      <c r="E9" t="s">
        <v>10</v>
      </c>
      <c r="F9">
        <v>671</v>
      </c>
      <c r="G9">
        <v>1355</v>
      </c>
      <c r="H9">
        <v>1316</v>
      </c>
    </row>
    <row r="10" spans="1:8" x14ac:dyDescent="0.3">
      <c r="A10" s="1">
        <v>44835</v>
      </c>
      <c r="B10">
        <v>971</v>
      </c>
      <c r="E10" t="s">
        <v>11</v>
      </c>
      <c r="F10">
        <v>858</v>
      </c>
      <c r="G10">
        <v>1378</v>
      </c>
      <c r="H10">
        <v>1560</v>
      </c>
    </row>
    <row r="11" spans="1:8" x14ac:dyDescent="0.3">
      <c r="A11" s="1">
        <v>44866</v>
      </c>
      <c r="B11">
        <v>785</v>
      </c>
      <c r="E11" t="s">
        <v>12</v>
      </c>
      <c r="F11">
        <v>762</v>
      </c>
      <c r="G11">
        <v>841</v>
      </c>
      <c r="H11">
        <v>1020</v>
      </c>
    </row>
    <row r="12" spans="1:8" x14ac:dyDescent="0.3">
      <c r="A12" s="1">
        <v>44896</v>
      </c>
      <c r="B12">
        <v>456</v>
      </c>
      <c r="E12" t="s">
        <v>13</v>
      </c>
      <c r="F12">
        <v>852</v>
      </c>
      <c r="G12">
        <v>866</v>
      </c>
      <c r="H12">
        <v>1028</v>
      </c>
    </row>
    <row r="13" spans="1:8" x14ac:dyDescent="0.3">
      <c r="A13" s="1">
        <v>44927</v>
      </c>
      <c r="B13">
        <v>1228</v>
      </c>
      <c r="E13" t="s">
        <v>14</v>
      </c>
      <c r="F13">
        <v>1066</v>
      </c>
      <c r="G13">
        <v>1069</v>
      </c>
      <c r="H13">
        <v>1123</v>
      </c>
    </row>
    <row r="14" spans="1:8" x14ac:dyDescent="0.3">
      <c r="A14" s="1">
        <v>44958</v>
      </c>
      <c r="B14">
        <v>665</v>
      </c>
      <c r="E14" t="s">
        <v>15</v>
      </c>
      <c r="F14">
        <v>1073</v>
      </c>
      <c r="G14">
        <v>1142</v>
      </c>
      <c r="H14">
        <v>1130</v>
      </c>
    </row>
    <row r="15" spans="1:8" x14ac:dyDescent="0.3">
      <c r="A15" s="1">
        <v>44986</v>
      </c>
      <c r="B15">
        <v>1441</v>
      </c>
      <c r="E15" t="s">
        <v>16</v>
      </c>
      <c r="F15">
        <v>918</v>
      </c>
      <c r="G15">
        <v>902</v>
      </c>
      <c r="H15">
        <v>1078</v>
      </c>
    </row>
    <row r="16" spans="1:8" x14ac:dyDescent="0.3">
      <c r="A16" s="1">
        <v>45017</v>
      </c>
      <c r="B16">
        <v>1459</v>
      </c>
      <c r="E16" t="s">
        <v>6</v>
      </c>
      <c r="F16">
        <v>1039</v>
      </c>
      <c r="G16">
        <v>946</v>
      </c>
      <c r="H16">
        <v>1112</v>
      </c>
    </row>
    <row r="17" spans="1:2" x14ac:dyDescent="0.3">
      <c r="A17" s="1">
        <v>45047</v>
      </c>
      <c r="B17">
        <v>1123</v>
      </c>
    </row>
    <row r="18" spans="1:2" x14ac:dyDescent="0.3">
      <c r="A18" s="1">
        <v>45078</v>
      </c>
      <c r="B18">
        <v>851</v>
      </c>
    </row>
    <row r="19" spans="1:2" x14ac:dyDescent="0.3">
      <c r="A19" s="1">
        <v>45108</v>
      </c>
      <c r="B19">
        <v>1152</v>
      </c>
    </row>
    <row r="20" spans="1:2" x14ac:dyDescent="0.3">
      <c r="A20" s="1">
        <v>45139</v>
      </c>
      <c r="B20">
        <v>1236</v>
      </c>
    </row>
    <row r="21" spans="1:2" x14ac:dyDescent="0.3">
      <c r="A21" s="1">
        <v>45170</v>
      </c>
      <c r="B21">
        <v>761</v>
      </c>
    </row>
    <row r="22" spans="1:2" x14ac:dyDescent="0.3">
      <c r="A22" s="1">
        <v>45200</v>
      </c>
      <c r="B22">
        <v>695</v>
      </c>
    </row>
    <row r="23" spans="1:2" x14ac:dyDescent="0.3">
      <c r="A23" s="1">
        <v>45231</v>
      </c>
      <c r="B23">
        <v>985</v>
      </c>
    </row>
    <row r="24" spans="1:2" x14ac:dyDescent="0.3">
      <c r="A24" s="1">
        <v>45261</v>
      </c>
      <c r="B24">
        <v>745</v>
      </c>
    </row>
    <row r="25" spans="1:2" x14ac:dyDescent="0.3">
      <c r="A25" s="1">
        <v>45292</v>
      </c>
      <c r="B25">
        <v>1478</v>
      </c>
    </row>
    <row r="26" spans="1:2" x14ac:dyDescent="0.3">
      <c r="A26" s="1">
        <v>45323</v>
      </c>
      <c r="B26">
        <v>1002</v>
      </c>
    </row>
    <row r="27" spans="1:2" x14ac:dyDescent="0.3">
      <c r="A27" s="1">
        <v>45352</v>
      </c>
      <c r="B27">
        <v>646</v>
      </c>
    </row>
    <row r="28" spans="1:2" x14ac:dyDescent="0.3">
      <c r="A28" s="1">
        <v>45383</v>
      </c>
      <c r="B28">
        <v>2041</v>
      </c>
    </row>
    <row r="29" spans="1:2" x14ac:dyDescent="0.3">
      <c r="A29" s="1">
        <v>45413</v>
      </c>
      <c r="B29">
        <v>1652</v>
      </c>
    </row>
    <row r="30" spans="1:2" x14ac:dyDescent="0.3">
      <c r="A30" s="1">
        <v>45444</v>
      </c>
      <c r="B30">
        <v>896</v>
      </c>
    </row>
    <row r="31" spans="1:2" x14ac:dyDescent="0.3">
      <c r="A31" s="1">
        <v>45474</v>
      </c>
      <c r="B31">
        <v>1659</v>
      </c>
    </row>
    <row r="32" spans="1:2" x14ac:dyDescent="0.3">
      <c r="A32" s="1">
        <v>45505</v>
      </c>
      <c r="B32">
        <v>1498</v>
      </c>
    </row>
    <row r="33" spans="1:2" x14ac:dyDescent="0.3">
      <c r="A33" s="1">
        <v>45536</v>
      </c>
      <c r="B33">
        <v>973</v>
      </c>
    </row>
    <row r="34" spans="1:2" x14ac:dyDescent="0.3">
      <c r="A34" s="1">
        <v>45566</v>
      </c>
      <c r="B34">
        <v>1269</v>
      </c>
    </row>
    <row r="35" spans="1:2" x14ac:dyDescent="0.3">
      <c r="A35" s="1">
        <v>45597</v>
      </c>
      <c r="B35">
        <v>1145</v>
      </c>
    </row>
    <row r="36" spans="1:2" x14ac:dyDescent="0.3">
      <c r="A36" s="1">
        <v>45627</v>
      </c>
      <c r="B36">
        <v>1365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abSelected="1" topLeftCell="B56" zoomScaleNormal="100" workbookViewId="0">
      <selection activeCell="M23" sqref="M23:M59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>
        <v>1146</v>
      </c>
      <c r="D3">
        <v>1132</v>
      </c>
      <c r="F3" s="2" t="s">
        <v>23</v>
      </c>
      <c r="H3" s="3">
        <v>1121.4583333333335</v>
      </c>
      <c r="I3" s="3">
        <v>1123.4583333333335</v>
      </c>
      <c r="J3" s="4"/>
      <c r="K3" s="4">
        <f>100*C3/H3</f>
        <v>102.18837079695336</v>
      </c>
      <c r="L3">
        <f>100*D3/I3</f>
        <v>100.76030115343247</v>
      </c>
      <c r="M3" s="4">
        <f>AVERAGE(J3:L3)</f>
        <v>101.47433597519291</v>
      </c>
      <c r="N3">
        <f t="shared" ref="N3:N14" si="0">M3*($L$15/$M$15)</f>
        <v>98.984689144276942</v>
      </c>
      <c r="O3">
        <v>98.984689144276942</v>
      </c>
      <c r="AC3" s="8"/>
    </row>
    <row r="4" spans="1:29" x14ac:dyDescent="0.3">
      <c r="A4" t="s">
        <v>7</v>
      </c>
      <c r="C4">
        <v>1159</v>
      </c>
      <c r="D4">
        <v>1186</v>
      </c>
      <c r="F4" s="2" t="s">
        <v>7</v>
      </c>
      <c r="H4" s="3">
        <v>1125.3333333333335</v>
      </c>
      <c r="I4" s="3">
        <v>1137.6666666666667</v>
      </c>
      <c r="J4" s="4"/>
      <c r="K4" s="4">
        <f t="shared" ref="K4:K14" si="1">100*C4/H4</f>
        <v>102.99170616113743</v>
      </c>
      <c r="L4">
        <f t="shared" ref="L4:L8" si="2">100*D4/I4</f>
        <v>104.24846176384412</v>
      </c>
      <c r="M4" s="4">
        <f t="shared" ref="M4:M14" si="3">AVERAGE(J4:L4)</f>
        <v>103.62008396249078</v>
      </c>
      <c r="N4">
        <f t="shared" si="0"/>
        <v>101.07779175454247</v>
      </c>
      <c r="O4">
        <v>101.07779175454247</v>
      </c>
      <c r="AC4" s="8"/>
    </row>
    <row r="5" spans="1:29" x14ac:dyDescent="0.3">
      <c r="A5" t="s">
        <v>8</v>
      </c>
      <c r="C5">
        <v>1330</v>
      </c>
      <c r="D5">
        <v>1190</v>
      </c>
      <c r="F5" s="2" t="s">
        <v>24</v>
      </c>
      <c r="H5" s="3">
        <v>1126.0416666666667</v>
      </c>
      <c r="I5" s="3">
        <v>1146.6666666666667</v>
      </c>
      <c r="J5" s="4"/>
      <c r="K5" s="4">
        <f t="shared" si="1"/>
        <v>118.11285846438481</v>
      </c>
      <c r="L5">
        <f t="shared" si="2"/>
        <v>103.77906976744185</v>
      </c>
      <c r="M5" s="4">
        <f t="shared" si="3"/>
        <v>110.94596411591334</v>
      </c>
      <c r="N5">
        <f t="shared" si="0"/>
        <v>108.22393331561693</v>
      </c>
      <c r="O5">
        <v>108.22393331561693</v>
      </c>
      <c r="AC5" s="8"/>
    </row>
    <row r="6" spans="1:29" x14ac:dyDescent="0.3">
      <c r="A6" t="s">
        <v>9</v>
      </c>
      <c r="C6">
        <v>1340</v>
      </c>
      <c r="D6">
        <v>1242</v>
      </c>
      <c r="F6" s="2" t="s">
        <v>25</v>
      </c>
      <c r="H6" s="3">
        <v>1129.0416666666667</v>
      </c>
      <c r="I6" s="3">
        <v>1148.4166666666667</v>
      </c>
      <c r="J6" s="4"/>
      <c r="K6" s="4">
        <f t="shared" si="1"/>
        <v>118.68472524633722</v>
      </c>
      <c r="L6">
        <f t="shared" si="2"/>
        <v>108.14890066032943</v>
      </c>
      <c r="M6" s="4">
        <f t="shared" si="3"/>
        <v>113.41681295333333</v>
      </c>
      <c r="N6">
        <f t="shared" si="0"/>
        <v>110.63416050995214</v>
      </c>
      <c r="O6">
        <v>110.63416050995214</v>
      </c>
      <c r="AC6" s="8"/>
    </row>
    <row r="7" spans="1:29" x14ac:dyDescent="0.3">
      <c r="A7" t="s">
        <v>10</v>
      </c>
      <c r="C7">
        <v>1355</v>
      </c>
      <c r="D7">
        <v>1316</v>
      </c>
      <c r="F7" s="2" t="s">
        <v>26</v>
      </c>
      <c r="H7" s="3">
        <v>1131.25</v>
      </c>
      <c r="I7" s="3">
        <v>1155.25</v>
      </c>
      <c r="J7" s="4"/>
      <c r="K7" s="4">
        <f t="shared" si="1"/>
        <v>119.77900552486187</v>
      </c>
      <c r="L7">
        <f t="shared" si="2"/>
        <v>113.91473706989829</v>
      </c>
      <c r="M7" s="4">
        <f t="shared" si="3"/>
        <v>116.84687129738009</v>
      </c>
      <c r="N7">
        <f t="shared" si="0"/>
        <v>113.98006325146112</v>
      </c>
      <c r="O7">
        <v>113.98006325146112</v>
      </c>
      <c r="AC7" s="8"/>
    </row>
    <row r="8" spans="1:29" x14ac:dyDescent="0.3">
      <c r="A8" t="s">
        <v>11</v>
      </c>
      <c r="C8">
        <v>1378</v>
      </c>
      <c r="D8">
        <v>1560</v>
      </c>
      <c r="F8" s="2" t="s">
        <v>27</v>
      </c>
      <c r="H8" s="3">
        <v>1126.7083333333333</v>
      </c>
      <c r="I8" s="3">
        <v>1169.5</v>
      </c>
      <c r="J8" s="4"/>
      <c r="K8" s="4">
        <f t="shared" si="1"/>
        <v>122.30316926149182</v>
      </c>
      <c r="L8">
        <f t="shared" si="2"/>
        <v>133.39033775117571</v>
      </c>
      <c r="M8" s="4">
        <f t="shared" si="3"/>
        <v>127.84675350633376</v>
      </c>
      <c r="N8">
        <f t="shared" si="0"/>
        <v>124.71006616907687</v>
      </c>
      <c r="O8">
        <v>124.71006616907687</v>
      </c>
      <c r="AC8" s="8"/>
    </row>
    <row r="9" spans="1:29" x14ac:dyDescent="0.3">
      <c r="A9" t="s">
        <v>12</v>
      </c>
      <c r="B9">
        <v>762</v>
      </c>
      <c r="C9">
        <v>841</v>
      </c>
      <c r="F9" s="2" t="s">
        <v>28</v>
      </c>
      <c r="G9" s="3">
        <v>833.33333333333337</v>
      </c>
      <c r="H9" s="3">
        <v>1122.25</v>
      </c>
      <c r="J9" s="4">
        <f>100*B9/G9</f>
        <v>91.44</v>
      </c>
      <c r="K9" s="4">
        <f t="shared" si="1"/>
        <v>74.93873914012029</v>
      </c>
      <c r="M9" s="4">
        <f t="shared" si="3"/>
        <v>83.189369570060137</v>
      </c>
      <c r="N9">
        <f t="shared" si="0"/>
        <v>81.148339704472946</v>
      </c>
      <c r="O9">
        <v>81.148339704472946</v>
      </c>
      <c r="AC9" s="8"/>
    </row>
    <row r="10" spans="1:29" x14ac:dyDescent="0.3">
      <c r="A10" t="s">
        <v>13</v>
      </c>
      <c r="B10">
        <v>852</v>
      </c>
      <c r="C10">
        <v>866</v>
      </c>
      <c r="F10" s="2" t="s">
        <v>29</v>
      </c>
      <c r="G10" s="3">
        <v>879.33333333333337</v>
      </c>
      <c r="H10" s="3">
        <v>1122.7916666666667</v>
      </c>
      <c r="J10" s="4">
        <f t="shared" ref="J10:J14" si="4">100*B10/G10</f>
        <v>96.891584533737671</v>
      </c>
      <c r="K10" s="4">
        <f t="shared" si="1"/>
        <v>77.129179500500982</v>
      </c>
      <c r="M10" s="4">
        <f t="shared" si="3"/>
        <v>87.010382017119326</v>
      </c>
      <c r="N10">
        <f t="shared" si="0"/>
        <v>84.875604590256771</v>
      </c>
      <c r="O10">
        <v>84.875604590256771</v>
      </c>
      <c r="AC10" s="8"/>
    </row>
    <row r="11" spans="1:29" x14ac:dyDescent="0.3">
      <c r="A11" t="s">
        <v>14</v>
      </c>
      <c r="B11">
        <v>1066</v>
      </c>
      <c r="C11">
        <v>1069</v>
      </c>
      <c r="F11" s="2" t="s">
        <v>30</v>
      </c>
      <c r="G11" s="3">
        <v>930.08333333333337</v>
      </c>
      <c r="H11" s="3">
        <v>1118.0833333333335</v>
      </c>
      <c r="J11" s="4">
        <f t="shared" si="4"/>
        <v>114.61338589732102</v>
      </c>
      <c r="K11" s="4">
        <f t="shared" si="1"/>
        <v>95.610046955355131</v>
      </c>
      <c r="M11" s="4">
        <f t="shared" si="3"/>
        <v>105.11171642633808</v>
      </c>
      <c r="N11">
        <f t="shared" si="0"/>
        <v>102.53282739811182</v>
      </c>
      <c r="O11">
        <v>102.53282739811182</v>
      </c>
      <c r="AC11" s="8"/>
    </row>
    <row r="12" spans="1:29" x14ac:dyDescent="0.3">
      <c r="A12" t="s">
        <v>15</v>
      </c>
      <c r="B12">
        <v>1073</v>
      </c>
      <c r="C12">
        <v>1142</v>
      </c>
      <c r="F12" s="2" t="s">
        <v>31</v>
      </c>
      <c r="G12" s="3">
        <v>986.83333333333337</v>
      </c>
      <c r="H12" s="3">
        <v>1108.1666666666665</v>
      </c>
      <c r="J12" s="4">
        <f t="shared" si="4"/>
        <v>108.73163317007261</v>
      </c>
      <c r="K12" s="4">
        <f t="shared" si="1"/>
        <v>103.05309069032938</v>
      </c>
      <c r="M12" s="4">
        <f t="shared" si="3"/>
        <v>105.89236193020099</v>
      </c>
      <c r="N12">
        <f t="shared" si="0"/>
        <v>103.29431996457353</v>
      </c>
      <c r="O12">
        <v>103.29431996457353</v>
      </c>
      <c r="AC12" s="8"/>
    </row>
    <row r="13" spans="1:29" x14ac:dyDescent="0.3">
      <c r="A13" t="s">
        <v>16</v>
      </c>
      <c r="B13">
        <v>918</v>
      </c>
      <c r="C13">
        <v>902</v>
      </c>
      <c r="F13" s="2" t="s">
        <v>32</v>
      </c>
      <c r="G13" s="3">
        <v>1046.3333333333333</v>
      </c>
      <c r="H13" s="3">
        <v>1102.4583333333333</v>
      </c>
      <c r="J13" s="4">
        <f t="shared" si="4"/>
        <v>87.734947435489019</v>
      </c>
      <c r="K13" s="4">
        <f t="shared" si="1"/>
        <v>81.817151063910202</v>
      </c>
      <c r="M13" s="4">
        <f t="shared" si="3"/>
        <v>84.776049249699611</v>
      </c>
      <c r="N13">
        <f t="shared" si="0"/>
        <v>82.696090604750324</v>
      </c>
      <c r="O13">
        <v>82.696090604750324</v>
      </c>
      <c r="AC13" s="8"/>
    </row>
    <row r="14" spans="1:29" x14ac:dyDescent="0.3">
      <c r="A14" t="s">
        <v>6</v>
      </c>
      <c r="B14">
        <v>1039</v>
      </c>
      <c r="C14">
        <v>946</v>
      </c>
      <c r="F14" s="2" t="s">
        <v>33</v>
      </c>
      <c r="G14" s="3">
        <v>1096.5</v>
      </c>
      <c r="H14" s="3">
        <v>1108.4166666666665</v>
      </c>
      <c r="J14" s="4">
        <f t="shared" si="4"/>
        <v>94.756041951664386</v>
      </c>
      <c r="K14" s="4">
        <f t="shared" si="1"/>
        <v>85.34696639350426</v>
      </c>
      <c r="M14" s="4">
        <f t="shared" si="3"/>
        <v>90.051504172584316</v>
      </c>
      <c r="N14">
        <f t="shared" si="0"/>
        <v>87.842113592908106</v>
      </c>
      <c r="O14">
        <v>87.842113592908106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1230.1822051766467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L23" s="2" t="s">
        <v>49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>
        <v>44652</v>
      </c>
      <c r="D24">
        <v>642</v>
      </c>
      <c r="G24" s="3">
        <v>98.984689144276942</v>
      </c>
      <c r="H24" s="3">
        <f>D24/G24*100</f>
        <v>648.58515549232175</v>
      </c>
      <c r="I24" s="3">
        <f t="shared" ref="I24:I70" si="5">15.029*B24+765.61</f>
        <v>780.63900000000001</v>
      </c>
      <c r="J24" s="3">
        <f>I24*G24/100</f>
        <v>772.71308748899207</v>
      </c>
      <c r="K24" s="3">
        <f>ABS((D24-J24)/D24)*100</f>
        <v>20.360294001400632</v>
      </c>
      <c r="AC24" s="8"/>
    </row>
    <row r="25" spans="1:29" x14ac:dyDescent="0.3">
      <c r="B25">
        <v>2</v>
      </c>
      <c r="C25" s="1">
        <v>44682</v>
      </c>
      <c r="D25">
        <v>559</v>
      </c>
      <c r="G25" s="3">
        <v>101.07779175454247</v>
      </c>
      <c r="H25" s="3">
        <f t="shared" ref="H25:H35" si="6">D25/G25*100</f>
        <v>553.03938708660837</v>
      </c>
      <c r="I25" s="3">
        <f t="shared" si="5"/>
        <v>795.66800000000001</v>
      </c>
      <c r="J25" s="3">
        <f t="shared" ref="J25:J35" si="7">I25*G25/100</f>
        <v>804.24364409753298</v>
      </c>
      <c r="K25" s="3">
        <f t="shared" ref="K25:K59" si="8">ABS((D25-J25)/D25)*100</f>
        <v>43.871850464674949</v>
      </c>
      <c r="AC25" s="8"/>
    </row>
    <row r="26" spans="1:29" x14ac:dyDescent="0.3">
      <c r="B26">
        <v>3</v>
      </c>
      <c r="C26" s="1">
        <v>44713</v>
      </c>
      <c r="D26">
        <v>712</v>
      </c>
      <c r="G26" s="3">
        <v>108.22393331561693</v>
      </c>
      <c r="H26" s="3">
        <f t="shared" si="6"/>
        <v>657.89514221736113</v>
      </c>
      <c r="I26" s="3">
        <f t="shared" si="5"/>
        <v>810.697</v>
      </c>
      <c r="J26" s="3">
        <f t="shared" si="7"/>
        <v>877.36818067170691</v>
      </c>
      <c r="K26" s="3">
        <f t="shared" si="8"/>
        <v>23.225868071868948</v>
      </c>
      <c r="AC26" s="8"/>
    </row>
    <row r="27" spans="1:29" x14ac:dyDescent="0.3">
      <c r="B27">
        <v>4</v>
      </c>
      <c r="C27" s="1">
        <v>44743</v>
      </c>
      <c r="D27">
        <v>596</v>
      </c>
      <c r="G27" s="3">
        <v>110.63416050995214</v>
      </c>
      <c r="H27" s="3">
        <f t="shared" si="6"/>
        <v>538.71245305502771</v>
      </c>
      <c r="I27" s="3">
        <f t="shared" si="5"/>
        <v>825.726</v>
      </c>
      <c r="J27" s="3">
        <f t="shared" si="7"/>
        <v>913.53502821240738</v>
      </c>
      <c r="K27" s="3">
        <f t="shared" si="8"/>
        <v>53.277689297383787</v>
      </c>
      <c r="AC27" s="8"/>
    </row>
    <row r="28" spans="1:29" x14ac:dyDescent="0.3">
      <c r="B28">
        <v>5</v>
      </c>
      <c r="C28" s="1">
        <v>44774</v>
      </c>
      <c r="D28">
        <v>671</v>
      </c>
      <c r="G28" s="3">
        <v>113.98006325146112</v>
      </c>
      <c r="H28" s="3">
        <f t="shared" si="6"/>
        <v>588.69944520003457</v>
      </c>
      <c r="I28" s="3">
        <f t="shared" si="5"/>
        <v>840.755</v>
      </c>
      <c r="J28" s="3">
        <f t="shared" si="7"/>
        <v>958.29308078982194</v>
      </c>
      <c r="K28" s="3">
        <f t="shared" si="8"/>
        <v>42.815660326352003</v>
      </c>
      <c r="AC28" s="8"/>
    </row>
    <row r="29" spans="1:29" x14ac:dyDescent="0.3">
      <c r="B29">
        <v>6</v>
      </c>
      <c r="C29" s="1">
        <v>44805</v>
      </c>
      <c r="D29">
        <v>858</v>
      </c>
      <c r="E29" s="3">
        <f>AVERAGE(D24:D35)</f>
        <v>812.33333333333337</v>
      </c>
      <c r="G29" s="3">
        <v>124.71006616907687</v>
      </c>
      <c r="H29" s="3">
        <f t="shared" si="6"/>
        <v>687.99578603122404</v>
      </c>
      <c r="I29" s="3">
        <f t="shared" si="5"/>
        <v>855.78399999999999</v>
      </c>
      <c r="J29" s="3">
        <f t="shared" si="7"/>
        <v>1067.2487926643728</v>
      </c>
      <c r="K29" s="3">
        <f t="shared" si="8"/>
        <v>24.387971173003823</v>
      </c>
      <c r="AC29" s="8"/>
    </row>
    <row r="30" spans="1:29" x14ac:dyDescent="0.3">
      <c r="B30">
        <v>7</v>
      </c>
      <c r="C30" s="1">
        <v>44835</v>
      </c>
      <c r="D30">
        <v>762</v>
      </c>
      <c r="E30" s="3">
        <f t="shared" ref="E30:E53" si="9">AVERAGE(D25:D36)</f>
        <v>854.33333333333337</v>
      </c>
      <c r="F30" s="3">
        <f>AVERAGE(E29:E30)</f>
        <v>833.33333333333337</v>
      </c>
      <c r="G30" s="3">
        <v>81.148339704472946</v>
      </c>
      <c r="H30" s="3">
        <f t="shared" si="6"/>
        <v>939.02106041240177</v>
      </c>
      <c r="I30" s="3">
        <f t="shared" si="5"/>
        <v>870.81299999999999</v>
      </c>
      <c r="J30" s="3">
        <f t="shared" si="7"/>
        <v>706.65029143071195</v>
      </c>
      <c r="K30" s="3">
        <f t="shared" si="8"/>
        <v>7.2637412820587999</v>
      </c>
      <c r="L30">
        <f>(D30/F30)*100</f>
        <v>91.44</v>
      </c>
      <c r="M30" s="6">
        <f>L30/100</f>
        <v>0.91439999999999999</v>
      </c>
      <c r="AC30" s="8"/>
    </row>
    <row r="31" spans="1:29" x14ac:dyDescent="0.3">
      <c r="B31">
        <v>8</v>
      </c>
      <c r="C31" s="1">
        <v>44866</v>
      </c>
      <c r="D31">
        <v>852</v>
      </c>
      <c r="E31" s="3">
        <f t="shared" si="9"/>
        <v>904.33333333333337</v>
      </c>
      <c r="F31" s="3">
        <f t="shared" ref="F31:F53" si="10">AVERAGE(E30:E31)</f>
        <v>879.33333333333337</v>
      </c>
      <c r="G31" s="3">
        <v>84.875604590256771</v>
      </c>
      <c r="H31" s="3">
        <f t="shared" si="6"/>
        <v>1003.8220100028657</v>
      </c>
      <c r="I31" s="3">
        <f t="shared" si="5"/>
        <v>885.84199999999998</v>
      </c>
      <c r="J31" s="3">
        <f t="shared" si="7"/>
        <v>751.86375321442233</v>
      </c>
      <c r="K31" s="3">
        <f t="shared" si="8"/>
        <v>11.753080608635877</v>
      </c>
      <c r="L31">
        <f t="shared" ref="L31:L53" si="11">(D31/F31)*100</f>
        <v>96.891584533737671</v>
      </c>
      <c r="M31" s="6">
        <f t="shared" ref="M31:M53" si="12">L31/100</f>
        <v>0.96891584533737674</v>
      </c>
      <c r="AC31" s="8"/>
    </row>
    <row r="32" spans="1:29" x14ac:dyDescent="0.3">
      <c r="B32">
        <v>9</v>
      </c>
      <c r="C32" s="1">
        <v>44896</v>
      </c>
      <c r="D32">
        <v>1066</v>
      </c>
      <c r="E32" s="3">
        <f t="shared" si="9"/>
        <v>955.83333333333337</v>
      </c>
      <c r="F32" s="3">
        <f t="shared" si="10"/>
        <v>930.08333333333337</v>
      </c>
      <c r="G32" s="3">
        <v>102.53282739811182</v>
      </c>
      <c r="H32" s="3">
        <f t="shared" si="6"/>
        <v>1039.6670286492372</v>
      </c>
      <c r="I32" s="3">
        <f t="shared" si="5"/>
        <v>900.87099999999998</v>
      </c>
      <c r="J32" s="3">
        <f t="shared" si="7"/>
        <v>923.68850750964396</v>
      </c>
      <c r="K32" s="3">
        <f t="shared" si="8"/>
        <v>13.350046199845783</v>
      </c>
      <c r="L32">
        <f t="shared" si="11"/>
        <v>114.61338589732102</v>
      </c>
      <c r="M32" s="6">
        <f t="shared" si="12"/>
        <v>1.1461338589732102</v>
      </c>
      <c r="AC32" s="8"/>
    </row>
    <row r="33" spans="1:29" x14ac:dyDescent="0.3">
      <c r="B33">
        <v>10</v>
      </c>
      <c r="C33" s="1">
        <v>44927</v>
      </c>
      <c r="D33">
        <v>1073</v>
      </c>
      <c r="E33" s="3">
        <f t="shared" si="9"/>
        <v>1017.8333333333334</v>
      </c>
      <c r="F33" s="3">
        <f t="shared" si="10"/>
        <v>986.83333333333337</v>
      </c>
      <c r="G33" s="3">
        <v>103.29431996457353</v>
      </c>
      <c r="H33" s="3">
        <f t="shared" si="6"/>
        <v>1038.7792865745209</v>
      </c>
      <c r="I33" s="3">
        <f t="shared" si="5"/>
        <v>915.9</v>
      </c>
      <c r="J33" s="3">
        <f t="shared" si="7"/>
        <v>946.07267655552891</v>
      </c>
      <c r="K33" s="3">
        <f t="shared" si="8"/>
        <v>11.829200693799729</v>
      </c>
      <c r="L33">
        <f t="shared" si="11"/>
        <v>108.73163317007261</v>
      </c>
      <c r="M33" s="6">
        <f t="shared" si="12"/>
        <v>1.0873163317007262</v>
      </c>
      <c r="AC33" s="8"/>
    </row>
    <row r="34" spans="1:29" x14ac:dyDescent="0.3">
      <c r="B34">
        <v>11</v>
      </c>
      <c r="C34" s="1">
        <v>44958</v>
      </c>
      <c r="D34">
        <v>918</v>
      </c>
      <c r="E34" s="3">
        <f t="shared" si="9"/>
        <v>1074.8333333333333</v>
      </c>
      <c r="F34" s="3">
        <f t="shared" si="10"/>
        <v>1046.3333333333333</v>
      </c>
      <c r="G34" s="3">
        <v>82.696090604750324</v>
      </c>
      <c r="H34" s="3">
        <f t="shared" si="6"/>
        <v>1110.0887518221657</v>
      </c>
      <c r="I34" s="3">
        <f t="shared" si="5"/>
        <v>930.92899999999997</v>
      </c>
      <c r="J34" s="3">
        <f t="shared" si="7"/>
        <v>769.84188930589619</v>
      </c>
      <c r="K34" s="3">
        <f t="shared" si="8"/>
        <v>16.139227744455752</v>
      </c>
      <c r="L34">
        <f t="shared" si="11"/>
        <v>87.734947435489019</v>
      </c>
      <c r="M34" s="6">
        <f t="shared" si="12"/>
        <v>0.87734947435489019</v>
      </c>
      <c r="AC34" s="8"/>
    </row>
    <row r="35" spans="1:29" x14ac:dyDescent="0.3">
      <c r="B35">
        <v>12</v>
      </c>
      <c r="C35" s="1">
        <v>44986</v>
      </c>
      <c r="D35">
        <v>1039</v>
      </c>
      <c r="E35" s="3">
        <f t="shared" si="9"/>
        <v>1118.1666666666667</v>
      </c>
      <c r="F35" s="3">
        <f t="shared" si="10"/>
        <v>1096.5</v>
      </c>
      <c r="G35" s="3">
        <v>87.842113592908106</v>
      </c>
      <c r="H35" s="3">
        <f t="shared" si="6"/>
        <v>1182.8039621349494</v>
      </c>
      <c r="I35" s="3">
        <f t="shared" si="5"/>
        <v>945.95800000000008</v>
      </c>
      <c r="J35" s="3">
        <f t="shared" si="7"/>
        <v>830.94950090120165</v>
      </c>
      <c r="K35" s="3">
        <f t="shared" si="8"/>
        <v>20.024109634148061</v>
      </c>
      <c r="L35">
        <f t="shared" si="11"/>
        <v>94.756041951664386</v>
      </c>
      <c r="M35" s="6">
        <f t="shared" si="12"/>
        <v>0.94756041951664383</v>
      </c>
      <c r="AC35" s="8"/>
    </row>
    <row r="36" spans="1:29" x14ac:dyDescent="0.3">
      <c r="A36" t="s">
        <v>21</v>
      </c>
      <c r="B36">
        <v>13</v>
      </c>
      <c r="C36" s="1">
        <v>45017</v>
      </c>
      <c r="D36">
        <v>1146</v>
      </c>
      <c r="E36" s="3">
        <f t="shared" si="9"/>
        <v>1124.75</v>
      </c>
      <c r="F36" s="3">
        <f t="shared" si="10"/>
        <v>1121.4583333333335</v>
      </c>
      <c r="G36" s="3">
        <v>98.984689144276942</v>
      </c>
      <c r="H36" s="3">
        <f t="shared" ref="H36:H59" si="13">D36/G36*100</f>
        <v>1157.7548102713408</v>
      </c>
      <c r="I36" s="3">
        <f t="shared" si="5"/>
        <v>960.98700000000008</v>
      </c>
      <c r="J36" s="3">
        <f t="shared" ref="J36:J71" si="14">I36*G36/100</f>
        <v>951.22999466691272</v>
      </c>
      <c r="K36" s="3">
        <f t="shared" si="8"/>
        <v>16.995637463620181</v>
      </c>
      <c r="L36">
        <f t="shared" si="11"/>
        <v>102.18837079695335</v>
      </c>
      <c r="M36" s="6">
        <f t="shared" si="12"/>
        <v>1.0218837079695335</v>
      </c>
      <c r="AC36" s="8"/>
    </row>
    <row r="37" spans="1:29" x14ac:dyDescent="0.3">
      <c r="B37">
        <v>14</v>
      </c>
      <c r="C37" s="1">
        <v>45047</v>
      </c>
      <c r="D37">
        <v>1159</v>
      </c>
      <c r="E37" s="3">
        <f t="shared" si="9"/>
        <v>1125.9166666666667</v>
      </c>
      <c r="F37" s="3">
        <f t="shared" si="10"/>
        <v>1125.3333333333335</v>
      </c>
      <c r="G37" s="3">
        <v>101.07779175454247</v>
      </c>
      <c r="H37" s="3">
        <f t="shared" si="13"/>
        <v>1146.6415914729498</v>
      </c>
      <c r="I37" s="3">
        <f t="shared" si="5"/>
        <v>976.01600000000008</v>
      </c>
      <c r="J37" s="3">
        <f t="shared" si="14"/>
        <v>986.53541997101536</v>
      </c>
      <c r="K37" s="3">
        <f t="shared" si="8"/>
        <v>14.880464195770893</v>
      </c>
      <c r="L37">
        <f t="shared" si="11"/>
        <v>102.99170616113742</v>
      </c>
      <c r="M37" s="6">
        <f t="shared" si="12"/>
        <v>1.0299170616113742</v>
      </c>
      <c r="AC37" s="8"/>
    </row>
    <row r="38" spans="1:29" x14ac:dyDescent="0.3">
      <c r="B38">
        <v>15</v>
      </c>
      <c r="C38" s="1">
        <v>45078</v>
      </c>
      <c r="D38">
        <v>1330</v>
      </c>
      <c r="E38" s="3">
        <f t="shared" si="9"/>
        <v>1126.1666666666667</v>
      </c>
      <c r="F38" s="3">
        <f t="shared" si="10"/>
        <v>1126.0416666666667</v>
      </c>
      <c r="G38" s="3">
        <v>108.22393331561693</v>
      </c>
      <c r="H38" s="3">
        <f t="shared" si="13"/>
        <v>1228.9333415015312</v>
      </c>
      <c r="I38" s="3">
        <f t="shared" si="5"/>
        <v>991.04500000000007</v>
      </c>
      <c r="J38" s="3">
        <f t="shared" si="14"/>
        <v>1072.547879927756</v>
      </c>
      <c r="K38" s="3">
        <f t="shared" si="8"/>
        <v>19.357302261070981</v>
      </c>
      <c r="L38">
        <f t="shared" si="11"/>
        <v>118.11285846438481</v>
      </c>
      <c r="M38" s="6">
        <f t="shared" si="12"/>
        <v>1.1811285846438482</v>
      </c>
      <c r="AC38" s="8"/>
    </row>
    <row r="39" spans="1:29" x14ac:dyDescent="0.3">
      <c r="B39">
        <v>16</v>
      </c>
      <c r="C39" s="1">
        <v>45108</v>
      </c>
      <c r="D39">
        <v>1340</v>
      </c>
      <c r="E39" s="3">
        <f t="shared" si="9"/>
        <v>1131.9166666666667</v>
      </c>
      <c r="F39" s="3">
        <f t="shared" si="10"/>
        <v>1129.0416666666667</v>
      </c>
      <c r="G39" s="3">
        <v>110.63416050995214</v>
      </c>
      <c r="H39" s="3">
        <f t="shared" si="13"/>
        <v>1211.1991394190222</v>
      </c>
      <c r="I39" s="3">
        <f t="shared" si="5"/>
        <v>1006.0740000000001</v>
      </c>
      <c r="J39" s="3">
        <f t="shared" si="14"/>
        <v>1113.061524008896</v>
      </c>
      <c r="K39" s="3">
        <f t="shared" si="8"/>
        <v>16.935707163515225</v>
      </c>
      <c r="L39">
        <f t="shared" si="11"/>
        <v>118.68472524633722</v>
      </c>
      <c r="M39" s="6">
        <f t="shared" si="12"/>
        <v>1.1868472524633722</v>
      </c>
      <c r="AC39" s="8"/>
    </row>
    <row r="40" spans="1:29" x14ac:dyDescent="0.3">
      <c r="B40">
        <v>17</v>
      </c>
      <c r="C40" s="1">
        <v>45139</v>
      </c>
      <c r="D40">
        <v>1355</v>
      </c>
      <c r="E40" s="3">
        <f t="shared" si="9"/>
        <v>1130.5833333333333</v>
      </c>
      <c r="F40" s="3">
        <f t="shared" si="10"/>
        <v>1131.25</v>
      </c>
      <c r="G40" s="3">
        <v>113.98006325146112</v>
      </c>
      <c r="H40" s="3">
        <f t="shared" si="13"/>
        <v>1188.8043938093097</v>
      </c>
      <c r="I40" s="3">
        <f t="shared" si="5"/>
        <v>1021.1030000000001</v>
      </c>
      <c r="J40" s="3">
        <f t="shared" si="14"/>
        <v>1163.8538452625671</v>
      </c>
      <c r="K40" s="3">
        <f t="shared" si="8"/>
        <v>14.106727286895415</v>
      </c>
      <c r="L40">
        <f t="shared" si="11"/>
        <v>119.77900552486187</v>
      </c>
      <c r="M40" s="6">
        <f t="shared" si="12"/>
        <v>1.1977900552486187</v>
      </c>
      <c r="AC40" s="8"/>
    </row>
    <row r="41" spans="1:29" x14ac:dyDescent="0.3">
      <c r="B41">
        <v>18</v>
      </c>
      <c r="C41" s="1">
        <v>45170</v>
      </c>
      <c r="D41">
        <v>1378</v>
      </c>
      <c r="E41" s="3">
        <f t="shared" si="9"/>
        <v>1122.8333333333333</v>
      </c>
      <c r="F41" s="3">
        <f t="shared" si="10"/>
        <v>1126.7083333333333</v>
      </c>
      <c r="G41" s="3">
        <v>124.71006616907687</v>
      </c>
      <c r="H41" s="3">
        <f t="shared" si="13"/>
        <v>1104.9629290804507</v>
      </c>
      <c r="I41" s="3">
        <f t="shared" si="5"/>
        <v>1036.1320000000001</v>
      </c>
      <c r="J41" s="3">
        <f t="shared" si="14"/>
        <v>1292.1609027989796</v>
      </c>
      <c r="K41" s="3">
        <f t="shared" si="8"/>
        <v>6.2292523367939348</v>
      </c>
      <c r="L41">
        <f t="shared" si="11"/>
        <v>122.3031692614918</v>
      </c>
      <c r="M41" s="6">
        <f t="shared" si="12"/>
        <v>1.2230316926149181</v>
      </c>
      <c r="AC41" s="8"/>
    </row>
    <row r="42" spans="1:29" x14ac:dyDescent="0.3">
      <c r="B42">
        <v>19</v>
      </c>
      <c r="C42" s="1">
        <v>45200</v>
      </c>
      <c r="D42">
        <v>841</v>
      </c>
      <c r="E42" s="3">
        <f t="shared" si="9"/>
        <v>1121.6666666666667</v>
      </c>
      <c r="F42" s="3">
        <f t="shared" si="10"/>
        <v>1122.25</v>
      </c>
      <c r="G42" s="3">
        <v>81.148339704472946</v>
      </c>
      <c r="H42" s="3">
        <f t="shared" si="13"/>
        <v>1036.3736375417716</v>
      </c>
      <c r="I42" s="3">
        <f t="shared" si="5"/>
        <v>1051.1610000000001</v>
      </c>
      <c r="J42" s="3">
        <f t="shared" si="14"/>
        <v>852.99969912093502</v>
      </c>
      <c r="K42" s="3">
        <f t="shared" si="8"/>
        <v>1.4268369941658763</v>
      </c>
      <c r="L42">
        <f t="shared" si="11"/>
        <v>74.93873914012029</v>
      </c>
      <c r="M42" s="6">
        <f t="shared" si="12"/>
        <v>0.74938739140120292</v>
      </c>
      <c r="AC42" s="8"/>
    </row>
    <row r="43" spans="1:29" x14ac:dyDescent="0.3">
      <c r="B43">
        <v>20</v>
      </c>
      <c r="C43" s="1">
        <v>45231</v>
      </c>
      <c r="D43">
        <v>866</v>
      </c>
      <c r="E43" s="3">
        <f t="shared" si="9"/>
        <v>1123.9166666666667</v>
      </c>
      <c r="F43" s="3">
        <f t="shared" si="10"/>
        <v>1122.7916666666667</v>
      </c>
      <c r="G43" s="3">
        <v>84.875604590256771</v>
      </c>
      <c r="H43" s="3">
        <f t="shared" si="13"/>
        <v>1020.3167378667624</v>
      </c>
      <c r="I43" s="3">
        <f t="shared" si="5"/>
        <v>1066.19</v>
      </c>
      <c r="J43" s="3">
        <f t="shared" si="14"/>
        <v>904.93520858085878</v>
      </c>
      <c r="K43" s="3">
        <f t="shared" si="8"/>
        <v>4.4959825151107147</v>
      </c>
      <c r="L43">
        <f t="shared" si="11"/>
        <v>77.129179500500982</v>
      </c>
      <c r="M43" s="6">
        <f t="shared" si="12"/>
        <v>0.77129179500500977</v>
      </c>
      <c r="AC43" s="8"/>
    </row>
    <row r="44" spans="1:29" x14ac:dyDescent="0.3">
      <c r="B44">
        <v>21</v>
      </c>
      <c r="C44" s="1">
        <v>45261</v>
      </c>
      <c r="D44">
        <v>1069</v>
      </c>
      <c r="E44" s="3">
        <f t="shared" si="9"/>
        <v>1112.25</v>
      </c>
      <c r="F44" s="3">
        <f t="shared" si="10"/>
        <v>1118.0833333333335</v>
      </c>
      <c r="G44" s="3">
        <v>102.53282739811182</v>
      </c>
      <c r="H44" s="3">
        <f t="shared" si="13"/>
        <v>1042.5929208499385</v>
      </c>
      <c r="I44" s="3">
        <f t="shared" si="5"/>
        <v>1081.2190000000001</v>
      </c>
      <c r="J44" s="3">
        <f t="shared" si="14"/>
        <v>1108.6044110655907</v>
      </c>
      <c r="K44" s="3">
        <f t="shared" si="8"/>
        <v>3.704809267127291</v>
      </c>
      <c r="L44">
        <f t="shared" si="11"/>
        <v>95.610046955355131</v>
      </c>
      <c r="M44" s="6">
        <f t="shared" si="12"/>
        <v>0.95610046955355132</v>
      </c>
      <c r="AC44" s="8"/>
    </row>
    <row r="45" spans="1:29" x14ac:dyDescent="0.3">
      <c r="B45">
        <v>22</v>
      </c>
      <c r="C45" s="1">
        <v>45292</v>
      </c>
      <c r="D45">
        <v>1142</v>
      </c>
      <c r="E45" s="3">
        <f t="shared" si="9"/>
        <v>1104.0833333333333</v>
      </c>
      <c r="F45" s="3">
        <f t="shared" si="10"/>
        <v>1108.1666666666665</v>
      </c>
      <c r="G45" s="3">
        <v>103.29431996457353</v>
      </c>
      <c r="H45" s="3">
        <f t="shared" si="13"/>
        <v>1105.5787001566664</v>
      </c>
      <c r="I45" s="3">
        <f t="shared" si="5"/>
        <v>1096.248</v>
      </c>
      <c r="J45" s="3">
        <f t="shared" si="14"/>
        <v>1132.3619167252382</v>
      </c>
      <c r="K45" s="3">
        <f t="shared" si="8"/>
        <v>0.84396526048702381</v>
      </c>
      <c r="L45">
        <f t="shared" si="11"/>
        <v>103.0530906903294</v>
      </c>
      <c r="M45" s="6">
        <f t="shared" si="12"/>
        <v>1.030530906903294</v>
      </c>
      <c r="AC45" s="8"/>
    </row>
    <row r="46" spans="1:29" x14ac:dyDescent="0.3">
      <c r="B46">
        <v>23</v>
      </c>
      <c r="C46" s="1">
        <v>45323</v>
      </c>
      <c r="D46">
        <v>902</v>
      </c>
      <c r="E46" s="3">
        <f t="shared" si="9"/>
        <v>1100.8333333333333</v>
      </c>
      <c r="F46" s="3">
        <f t="shared" si="10"/>
        <v>1102.4583333333333</v>
      </c>
      <c r="G46" s="3">
        <v>82.696090604750324</v>
      </c>
      <c r="H46" s="3">
        <f t="shared" si="13"/>
        <v>1090.7407997206899</v>
      </c>
      <c r="I46" s="3">
        <f t="shared" si="5"/>
        <v>1111.277</v>
      </c>
      <c r="J46" s="3">
        <f t="shared" si="14"/>
        <v>918.98263478975127</v>
      </c>
      <c r="K46" s="3">
        <f t="shared" si="8"/>
        <v>1.8827754755821811</v>
      </c>
      <c r="L46">
        <f t="shared" si="11"/>
        <v>81.817151063910217</v>
      </c>
      <c r="M46" s="6">
        <f t="shared" si="12"/>
        <v>0.81817151063910221</v>
      </c>
      <c r="AC46" s="8"/>
    </row>
    <row r="47" spans="1:29" x14ac:dyDescent="0.3">
      <c r="B47">
        <v>24</v>
      </c>
      <c r="C47" s="1">
        <v>45352</v>
      </c>
      <c r="D47">
        <v>946</v>
      </c>
      <c r="E47" s="3">
        <f t="shared" si="9"/>
        <v>1116</v>
      </c>
      <c r="F47" s="3">
        <f t="shared" si="10"/>
        <v>1108.4166666666665</v>
      </c>
      <c r="G47" s="3">
        <v>87.842113592908106</v>
      </c>
      <c r="H47" s="3">
        <f t="shared" si="13"/>
        <v>1076.9321926656999</v>
      </c>
      <c r="I47" s="3">
        <f t="shared" si="5"/>
        <v>1126.306</v>
      </c>
      <c r="J47" s="3">
        <f t="shared" si="14"/>
        <v>989.37099592373954</v>
      </c>
      <c r="K47" s="3">
        <f t="shared" si="8"/>
        <v>4.584671873545406</v>
      </c>
      <c r="L47">
        <f t="shared" si="11"/>
        <v>85.34696639350426</v>
      </c>
      <c r="M47" s="6">
        <f t="shared" si="12"/>
        <v>0.85346966393504264</v>
      </c>
      <c r="AC47" s="8"/>
    </row>
    <row r="48" spans="1:29" x14ac:dyDescent="0.3">
      <c r="A48" t="s">
        <v>22</v>
      </c>
      <c r="B48">
        <v>25</v>
      </c>
      <c r="C48" s="1">
        <v>45383</v>
      </c>
      <c r="D48">
        <v>1132</v>
      </c>
      <c r="E48" s="3">
        <f t="shared" si="9"/>
        <v>1130.9166666666667</v>
      </c>
      <c r="F48" s="3">
        <f t="shared" si="10"/>
        <v>1123.4583333333335</v>
      </c>
      <c r="G48" s="3">
        <v>98.984689144276942</v>
      </c>
      <c r="H48" s="3">
        <f t="shared" si="13"/>
        <v>1143.6112087497013</v>
      </c>
      <c r="I48" s="3">
        <f t="shared" si="5"/>
        <v>1141.335</v>
      </c>
      <c r="J48" s="3">
        <f t="shared" si="14"/>
        <v>1129.7469018448332</v>
      </c>
      <c r="K48" s="3">
        <f t="shared" si="8"/>
        <v>0.1990369395023634</v>
      </c>
      <c r="L48">
        <f t="shared" si="11"/>
        <v>100.76030115343247</v>
      </c>
      <c r="M48" s="6">
        <f t="shared" si="12"/>
        <v>1.0076030115343246</v>
      </c>
      <c r="AC48" s="8"/>
    </row>
    <row r="49" spans="1:29" x14ac:dyDescent="0.3">
      <c r="B49">
        <v>26</v>
      </c>
      <c r="C49" s="1">
        <v>45413</v>
      </c>
      <c r="D49">
        <v>1186</v>
      </c>
      <c r="E49" s="3">
        <f t="shared" si="9"/>
        <v>1144.4166666666667</v>
      </c>
      <c r="F49" s="3">
        <f t="shared" si="10"/>
        <v>1137.6666666666667</v>
      </c>
      <c r="G49" s="3">
        <v>101.07779175454247</v>
      </c>
      <c r="H49" s="3">
        <f t="shared" si="13"/>
        <v>1173.3536906703353</v>
      </c>
      <c r="I49" s="3">
        <f t="shared" si="5"/>
        <v>1156.364</v>
      </c>
      <c r="J49" s="3">
        <f t="shared" si="14"/>
        <v>1168.8271958444975</v>
      </c>
      <c r="K49" s="3">
        <f t="shared" si="8"/>
        <v>1.4479598782042571</v>
      </c>
      <c r="L49">
        <f t="shared" si="11"/>
        <v>104.24846176384412</v>
      </c>
      <c r="M49" s="6">
        <f t="shared" si="12"/>
        <v>1.0424846176384412</v>
      </c>
      <c r="AC49" s="8"/>
    </row>
    <row r="50" spans="1:29" x14ac:dyDescent="0.3">
      <c r="B50">
        <v>27</v>
      </c>
      <c r="C50" s="1">
        <v>45444</v>
      </c>
      <c r="D50">
        <v>1190</v>
      </c>
      <c r="E50" s="3">
        <f t="shared" si="9"/>
        <v>1148.9166666666667</v>
      </c>
      <c r="F50" s="3">
        <f t="shared" si="10"/>
        <v>1146.6666666666667</v>
      </c>
      <c r="G50" s="3">
        <v>108.22393331561693</v>
      </c>
      <c r="H50" s="3">
        <f t="shared" si="13"/>
        <v>1099.571937132949</v>
      </c>
      <c r="I50" s="3">
        <f t="shared" si="5"/>
        <v>1171.393</v>
      </c>
      <c r="J50" s="3">
        <f t="shared" si="14"/>
        <v>1267.7275791838047</v>
      </c>
      <c r="K50" s="3">
        <f t="shared" si="8"/>
        <v>6.5317293431768615</v>
      </c>
      <c r="L50">
        <f t="shared" si="11"/>
        <v>103.77906976744184</v>
      </c>
      <c r="M50" s="6">
        <f t="shared" si="12"/>
        <v>1.0377906976744184</v>
      </c>
      <c r="AC50" s="8"/>
    </row>
    <row r="51" spans="1:29" x14ac:dyDescent="0.3">
      <c r="B51">
        <v>28</v>
      </c>
      <c r="C51" s="1">
        <v>45474</v>
      </c>
      <c r="D51">
        <v>1242</v>
      </c>
      <c r="E51" s="3">
        <f t="shared" si="9"/>
        <v>1147.9166666666667</v>
      </c>
      <c r="F51" s="3">
        <f t="shared" si="10"/>
        <v>1148.4166666666667</v>
      </c>
      <c r="G51" s="3">
        <v>110.63416050995214</v>
      </c>
      <c r="H51" s="3">
        <f t="shared" si="13"/>
        <v>1122.6189038495713</v>
      </c>
      <c r="I51" s="3">
        <f t="shared" si="5"/>
        <v>1186.422</v>
      </c>
      <c r="J51" s="3">
        <f t="shared" si="14"/>
        <v>1312.5880198053844</v>
      </c>
      <c r="K51" s="3">
        <f t="shared" si="8"/>
        <v>5.6834154432676662</v>
      </c>
      <c r="L51">
        <f t="shared" si="11"/>
        <v>108.14890066032943</v>
      </c>
      <c r="M51" s="6">
        <f t="shared" si="12"/>
        <v>1.0814890066032943</v>
      </c>
      <c r="AB51" s="6"/>
    </row>
    <row r="52" spans="1:29" x14ac:dyDescent="0.3">
      <c r="B52">
        <v>29</v>
      </c>
      <c r="C52" s="1">
        <v>45505</v>
      </c>
      <c r="D52">
        <v>1316</v>
      </c>
      <c r="E52" s="3">
        <f t="shared" si="9"/>
        <v>1162.5833333333333</v>
      </c>
      <c r="F52" s="3">
        <f t="shared" si="10"/>
        <v>1155.25</v>
      </c>
      <c r="G52" s="3">
        <v>113.98006325146112</v>
      </c>
      <c r="H52" s="3">
        <f t="shared" si="13"/>
        <v>1154.5878835815877</v>
      </c>
      <c r="I52" s="3">
        <f t="shared" si="5"/>
        <v>1201.451</v>
      </c>
      <c r="J52" s="3">
        <f t="shared" si="14"/>
        <v>1369.4146097353121</v>
      </c>
      <c r="K52" s="3">
        <f t="shared" si="8"/>
        <v>4.0588609221361756</v>
      </c>
      <c r="L52">
        <f t="shared" si="11"/>
        <v>113.91473706989829</v>
      </c>
      <c r="M52" s="6">
        <f t="shared" si="12"/>
        <v>1.139147370698983</v>
      </c>
    </row>
    <row r="53" spans="1:29" x14ac:dyDescent="0.3">
      <c r="B53">
        <v>30</v>
      </c>
      <c r="C53" s="1">
        <v>45536</v>
      </c>
      <c r="D53">
        <v>1560</v>
      </c>
      <c r="E53" s="3">
        <f t="shared" si="9"/>
        <v>1176.4166666666667</v>
      </c>
      <c r="F53" s="3">
        <f t="shared" si="10"/>
        <v>1169.5</v>
      </c>
      <c r="G53" s="3">
        <v>124.71006616907687</v>
      </c>
      <c r="H53" s="3">
        <f t="shared" si="13"/>
        <v>1250.9014291476801</v>
      </c>
      <c r="I53" s="3">
        <f t="shared" si="5"/>
        <v>1216.48</v>
      </c>
      <c r="J53" s="3">
        <f t="shared" si="14"/>
        <v>1517.0730129335864</v>
      </c>
      <c r="K53" s="3">
        <f t="shared" si="8"/>
        <v>2.7517299401547199</v>
      </c>
      <c r="L53">
        <f t="shared" si="11"/>
        <v>133.39033775117574</v>
      </c>
      <c r="M53" s="6">
        <f t="shared" si="12"/>
        <v>1.3339033775117572</v>
      </c>
    </row>
    <row r="54" spans="1:29" x14ac:dyDescent="0.3">
      <c r="B54">
        <v>31</v>
      </c>
      <c r="C54" s="1">
        <v>45566</v>
      </c>
      <c r="D54">
        <v>1020</v>
      </c>
      <c r="F54" s="3"/>
      <c r="G54" s="3">
        <v>81.148339704472946</v>
      </c>
      <c r="H54" s="3">
        <f t="shared" si="13"/>
        <v>1256.9573249614828</v>
      </c>
      <c r="I54" s="3">
        <f t="shared" si="5"/>
        <v>1231.509</v>
      </c>
      <c r="J54" s="3">
        <f t="shared" si="14"/>
        <v>999.34910681115764</v>
      </c>
      <c r="K54" s="3">
        <f t="shared" si="8"/>
        <v>2.0245973714551333</v>
      </c>
    </row>
    <row r="55" spans="1:29" x14ac:dyDescent="0.3">
      <c r="B55">
        <v>32</v>
      </c>
      <c r="C55" s="1">
        <v>45597</v>
      </c>
      <c r="D55">
        <v>1028</v>
      </c>
      <c r="G55" s="3">
        <v>84.875604590256771</v>
      </c>
      <c r="H55" s="3">
        <f t="shared" si="13"/>
        <v>1211.1843031489975</v>
      </c>
      <c r="I55" s="3">
        <f t="shared" si="5"/>
        <v>1246.538</v>
      </c>
      <c r="J55" s="3">
        <f t="shared" si="14"/>
        <v>1058.006663947295</v>
      </c>
      <c r="K55" s="3">
        <f t="shared" si="8"/>
        <v>2.9189361816434833</v>
      </c>
    </row>
    <row r="56" spans="1:29" x14ac:dyDescent="0.3">
      <c r="B56">
        <v>33</v>
      </c>
      <c r="C56" s="1">
        <v>45627</v>
      </c>
      <c r="D56">
        <v>1123</v>
      </c>
      <c r="G56" s="3">
        <v>102.53282739811182</v>
      </c>
      <c r="H56" s="3">
        <f t="shared" si="13"/>
        <v>1095.2589804625641</v>
      </c>
      <c r="I56" s="3">
        <f t="shared" si="5"/>
        <v>1261.567</v>
      </c>
      <c r="J56" s="3">
        <f t="shared" si="14"/>
        <v>1293.5203146215374</v>
      </c>
      <c r="K56" s="3">
        <f t="shared" si="8"/>
        <v>15.184355709843045</v>
      </c>
    </row>
    <row r="57" spans="1:29" x14ac:dyDescent="0.3">
      <c r="B57">
        <v>34</v>
      </c>
      <c r="C57" s="1">
        <v>45658</v>
      </c>
      <c r="D57">
        <v>1130</v>
      </c>
      <c r="G57" s="3">
        <v>103.29431996457353</v>
      </c>
      <c r="H57" s="3">
        <f t="shared" si="13"/>
        <v>1093.9614108380324</v>
      </c>
      <c r="I57" s="3">
        <f t="shared" si="5"/>
        <v>1276.596</v>
      </c>
      <c r="J57" s="3">
        <f t="shared" si="14"/>
        <v>1318.651156894947</v>
      </c>
      <c r="K57" s="3">
        <f t="shared" si="8"/>
        <v>16.69479264557053</v>
      </c>
    </row>
    <row r="58" spans="1:29" x14ac:dyDescent="0.3">
      <c r="B58">
        <v>35</v>
      </c>
      <c r="C58" s="1">
        <v>45689</v>
      </c>
      <c r="D58">
        <v>1078</v>
      </c>
      <c r="G58" s="3">
        <v>82.696090604750324</v>
      </c>
      <c r="H58" s="3">
        <f t="shared" si="13"/>
        <v>1303.568272836922</v>
      </c>
      <c r="I58" s="3">
        <f t="shared" si="5"/>
        <v>1291.625</v>
      </c>
      <c r="J58" s="3">
        <f t="shared" si="14"/>
        <v>1068.1233802736062</v>
      </c>
      <c r="K58" s="3">
        <f t="shared" si="8"/>
        <v>0.91619849038903112</v>
      </c>
    </row>
    <row r="59" spans="1:29" x14ac:dyDescent="0.3">
      <c r="B59">
        <v>36</v>
      </c>
      <c r="C59" s="1">
        <v>45717</v>
      </c>
      <c r="D59">
        <v>1112</v>
      </c>
      <c r="G59" s="3">
        <v>87.842113592908106</v>
      </c>
      <c r="H59" s="3">
        <f t="shared" si="13"/>
        <v>1265.9076091376937</v>
      </c>
      <c r="I59" s="3">
        <f t="shared" si="5"/>
        <v>1306.654</v>
      </c>
      <c r="J59" s="3">
        <f t="shared" si="14"/>
        <v>1147.7924909462774</v>
      </c>
      <c r="K59" s="3">
        <f t="shared" si="8"/>
        <v>3.2187491858163164</v>
      </c>
    </row>
    <row r="60" spans="1:29" x14ac:dyDescent="0.3">
      <c r="A60" t="s">
        <v>39</v>
      </c>
      <c r="B60">
        <v>37</v>
      </c>
      <c r="C60" s="1">
        <v>45748</v>
      </c>
      <c r="G60">
        <v>98.984689144276942</v>
      </c>
      <c r="I60" s="3">
        <f t="shared" si="5"/>
        <v>1321.683</v>
      </c>
      <c r="J60" s="3">
        <f t="shared" si="14"/>
        <v>1308.2638090227538</v>
      </c>
    </row>
    <row r="61" spans="1:29" x14ac:dyDescent="0.3">
      <c r="B61">
        <v>38</v>
      </c>
      <c r="C61" s="1">
        <v>45778</v>
      </c>
      <c r="G61">
        <v>101.07779175454247</v>
      </c>
      <c r="I61" s="3">
        <f t="shared" si="5"/>
        <v>1336.712</v>
      </c>
      <c r="J61" s="3">
        <f t="shared" si="14"/>
        <v>1351.1189717179798</v>
      </c>
    </row>
    <row r="62" spans="1:29" x14ac:dyDescent="0.3">
      <c r="B62">
        <v>39</v>
      </c>
      <c r="C62" s="1">
        <v>45809</v>
      </c>
      <c r="G62">
        <v>108.22393331561693</v>
      </c>
      <c r="I62" s="3">
        <f t="shared" si="5"/>
        <v>1351.741</v>
      </c>
      <c r="J62" s="3">
        <f t="shared" si="14"/>
        <v>1462.9072784398534</v>
      </c>
    </row>
    <row r="63" spans="1:29" x14ac:dyDescent="0.3">
      <c r="B63">
        <v>40</v>
      </c>
      <c r="C63" s="1">
        <v>45839</v>
      </c>
      <c r="G63">
        <v>110.63416050995214</v>
      </c>
      <c r="I63" s="3">
        <f t="shared" si="5"/>
        <v>1366.77</v>
      </c>
      <c r="J63" s="3">
        <f t="shared" si="14"/>
        <v>1512.1145156018727</v>
      </c>
    </row>
    <row r="64" spans="1:29" x14ac:dyDescent="0.3">
      <c r="B64">
        <v>41</v>
      </c>
      <c r="C64" s="1">
        <v>45870</v>
      </c>
      <c r="G64">
        <v>113.98006325146112</v>
      </c>
      <c r="I64" s="3">
        <f t="shared" si="5"/>
        <v>1381.799</v>
      </c>
      <c r="J64" s="3">
        <f t="shared" si="14"/>
        <v>1574.9753742080572</v>
      </c>
    </row>
    <row r="65" spans="2:11" x14ac:dyDescent="0.3">
      <c r="B65">
        <v>42</v>
      </c>
      <c r="C65" s="1">
        <v>45901</v>
      </c>
      <c r="G65">
        <v>124.71006616907687</v>
      </c>
      <c r="I65" s="3">
        <f t="shared" si="5"/>
        <v>1396.828</v>
      </c>
      <c r="J65" s="3">
        <f t="shared" si="14"/>
        <v>1741.9851230681929</v>
      </c>
    </row>
    <row r="66" spans="2:11" x14ac:dyDescent="0.3">
      <c r="B66">
        <v>43</v>
      </c>
      <c r="C66" s="1">
        <v>45931</v>
      </c>
      <c r="G66">
        <v>81.148339704472946</v>
      </c>
      <c r="I66" s="3">
        <f t="shared" si="5"/>
        <v>1411.857</v>
      </c>
      <c r="J66" s="3">
        <f t="shared" si="14"/>
        <v>1145.6985145013805</v>
      </c>
    </row>
    <row r="67" spans="2:11" x14ac:dyDescent="0.3">
      <c r="B67">
        <v>44</v>
      </c>
      <c r="C67" s="1">
        <v>45962</v>
      </c>
      <c r="G67">
        <v>84.875604590256771</v>
      </c>
      <c r="I67" s="3">
        <f t="shared" si="5"/>
        <v>1426.886</v>
      </c>
      <c r="J67" s="3">
        <f t="shared" si="14"/>
        <v>1211.0781193137311</v>
      </c>
    </row>
    <row r="68" spans="2:11" x14ac:dyDescent="0.3">
      <c r="B68">
        <v>45</v>
      </c>
      <c r="C68" s="1">
        <v>45992</v>
      </c>
      <c r="G68">
        <v>102.53282739811182</v>
      </c>
      <c r="I68" s="3">
        <f t="shared" si="5"/>
        <v>1441.915</v>
      </c>
      <c r="J68" s="3">
        <f t="shared" si="14"/>
        <v>1478.4362181774841</v>
      </c>
    </row>
    <row r="69" spans="2:11" x14ac:dyDescent="0.3">
      <c r="B69">
        <v>46</v>
      </c>
      <c r="C69" s="1">
        <v>46023</v>
      </c>
      <c r="G69">
        <v>103.29431996457353</v>
      </c>
      <c r="I69" s="3">
        <f t="shared" si="5"/>
        <v>1456.944</v>
      </c>
      <c r="J69" s="3">
        <f t="shared" si="14"/>
        <v>1504.9403970646561</v>
      </c>
    </row>
    <row r="70" spans="2:11" x14ac:dyDescent="0.3">
      <c r="B70">
        <v>47</v>
      </c>
      <c r="C70" s="1">
        <v>46054</v>
      </c>
      <c r="G70">
        <v>82.696090604750324</v>
      </c>
      <c r="I70" s="3">
        <f t="shared" si="5"/>
        <v>1471.973</v>
      </c>
      <c r="J70" s="3">
        <f t="shared" si="14"/>
        <v>1217.2641257574614</v>
      </c>
    </row>
    <row r="71" spans="2:11" x14ac:dyDescent="0.3">
      <c r="B71">
        <v>48</v>
      </c>
      <c r="C71" s="1">
        <v>46082</v>
      </c>
      <c r="G71">
        <v>87.842113592908106</v>
      </c>
      <c r="I71" s="3">
        <f>15.029*B71+765.61</f>
        <v>1487.002</v>
      </c>
      <c r="J71" s="3">
        <f t="shared" si="14"/>
        <v>1306.2139859688155</v>
      </c>
    </row>
    <row r="72" spans="2:11" x14ac:dyDescent="0.3">
      <c r="J72" s="2" t="s">
        <v>48</v>
      </c>
      <c r="K72">
        <f>AVERAGE(K24:K59)</f>
        <v>12.649256490068691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110C-ED0F-47A7-B69B-EE24DE87BEE7}">
  <dimension ref="A1:K37"/>
  <sheetViews>
    <sheetView topLeftCell="A19" workbookViewId="0">
      <selection sqref="A1:K37"/>
    </sheetView>
  </sheetViews>
  <sheetFormatPr defaultRowHeight="14.4" x14ac:dyDescent="0.3"/>
  <sheetData>
    <row r="1" spans="1:11" x14ac:dyDescent="0.3">
      <c r="A1" t="s">
        <v>45</v>
      </c>
      <c r="B1" t="s">
        <v>18</v>
      </c>
      <c r="C1" t="s">
        <v>17</v>
      </c>
      <c r="D1" t="s">
        <v>52</v>
      </c>
      <c r="E1" t="s">
        <v>51</v>
      </c>
      <c r="F1" t="s">
        <v>50</v>
      </c>
      <c r="G1" s="3" t="s">
        <v>54</v>
      </c>
      <c r="H1" s="3" t="s">
        <v>44</v>
      </c>
      <c r="I1" s="3" t="s">
        <v>36</v>
      </c>
      <c r="J1" s="3" t="s">
        <v>46</v>
      </c>
      <c r="K1" t="s">
        <v>53</v>
      </c>
    </row>
    <row r="2" spans="1:11" x14ac:dyDescent="0.3">
      <c r="A2">
        <v>1</v>
      </c>
      <c r="B2" s="1">
        <v>44652</v>
      </c>
      <c r="C2">
        <v>642</v>
      </c>
      <c r="G2" s="3">
        <v>98.984689144276942</v>
      </c>
      <c r="H2" s="3">
        <f t="shared" ref="H2:H37" si="0">C2/G2*100</f>
        <v>648.58515549232175</v>
      </c>
      <c r="I2" s="3">
        <f t="shared" ref="I2:I37" si="1">15.029*A2+765.61</f>
        <v>780.63900000000001</v>
      </c>
      <c r="J2" s="3">
        <f>I2*G2/100</f>
        <v>772.71308748899207</v>
      </c>
      <c r="K2" s="3">
        <f t="shared" ref="K2:K37" si="2">ABS((C2-J2)/C2)*100</f>
        <v>20.360294001400632</v>
      </c>
    </row>
    <row r="3" spans="1:11" x14ac:dyDescent="0.3">
      <c r="A3">
        <v>2</v>
      </c>
      <c r="B3" s="1">
        <v>44682</v>
      </c>
      <c r="C3">
        <v>559</v>
      </c>
      <c r="G3" s="3">
        <v>101.07779175454247</v>
      </c>
      <c r="H3" s="3">
        <f t="shared" si="0"/>
        <v>553.03938708660837</v>
      </c>
      <c r="I3" s="3">
        <f t="shared" si="1"/>
        <v>795.66800000000001</v>
      </c>
      <c r="J3" s="3">
        <f t="shared" ref="J3:J37" si="3">I3*G3/100</f>
        <v>804.24364409753298</v>
      </c>
      <c r="K3" s="3">
        <f t="shared" si="2"/>
        <v>43.871850464674949</v>
      </c>
    </row>
    <row r="4" spans="1:11" x14ac:dyDescent="0.3">
      <c r="A4">
        <v>3</v>
      </c>
      <c r="B4" s="1">
        <v>44713</v>
      </c>
      <c r="C4">
        <v>712</v>
      </c>
      <c r="G4" s="3">
        <v>108.22393331561693</v>
      </c>
      <c r="H4" s="3">
        <f t="shared" si="0"/>
        <v>657.89514221736113</v>
      </c>
      <c r="I4" s="3">
        <f t="shared" si="1"/>
        <v>810.697</v>
      </c>
      <c r="J4" s="3">
        <f t="shared" si="3"/>
        <v>877.36818067170691</v>
      </c>
      <c r="K4" s="3">
        <f t="shared" si="2"/>
        <v>23.225868071868948</v>
      </c>
    </row>
    <row r="5" spans="1:11" x14ac:dyDescent="0.3">
      <c r="A5">
        <v>4</v>
      </c>
      <c r="B5" s="1">
        <v>44743</v>
      </c>
      <c r="C5">
        <v>596</v>
      </c>
      <c r="G5" s="3">
        <v>110.63416050995214</v>
      </c>
      <c r="H5" s="3">
        <f t="shared" si="0"/>
        <v>538.71245305502771</v>
      </c>
      <c r="I5" s="3">
        <f t="shared" si="1"/>
        <v>825.726</v>
      </c>
      <c r="J5" s="3">
        <f t="shared" si="3"/>
        <v>913.53502821240738</v>
      </c>
      <c r="K5" s="3">
        <f t="shared" si="2"/>
        <v>53.277689297383787</v>
      </c>
    </row>
    <row r="6" spans="1:11" x14ac:dyDescent="0.3">
      <c r="A6">
        <v>5</v>
      </c>
      <c r="B6" s="1">
        <v>44774</v>
      </c>
      <c r="C6">
        <v>671</v>
      </c>
      <c r="G6" s="3">
        <v>113.98006325146112</v>
      </c>
      <c r="H6" s="3">
        <f t="shared" si="0"/>
        <v>588.69944520003457</v>
      </c>
      <c r="I6" s="3">
        <f t="shared" si="1"/>
        <v>840.755</v>
      </c>
      <c r="J6" s="3">
        <f t="shared" si="3"/>
        <v>958.29308078982194</v>
      </c>
      <c r="K6" s="3">
        <f t="shared" si="2"/>
        <v>42.815660326352003</v>
      </c>
    </row>
    <row r="7" spans="1:11" x14ac:dyDescent="0.3">
      <c r="A7">
        <v>6</v>
      </c>
      <c r="B7" s="1">
        <v>44805</v>
      </c>
      <c r="C7">
        <v>858</v>
      </c>
      <c r="D7" s="3">
        <f>AVERAGE(C2:C13)</f>
        <v>812.33333333333337</v>
      </c>
      <c r="G7" s="3">
        <v>124.71006616907687</v>
      </c>
      <c r="H7" s="3">
        <f t="shared" si="0"/>
        <v>687.99578603122404</v>
      </c>
      <c r="I7" s="3">
        <f t="shared" si="1"/>
        <v>855.78399999999999</v>
      </c>
      <c r="J7" s="3">
        <f t="shared" si="3"/>
        <v>1067.2487926643728</v>
      </c>
      <c r="K7" s="3">
        <f t="shared" si="2"/>
        <v>24.387971173003823</v>
      </c>
    </row>
    <row r="8" spans="1:11" x14ac:dyDescent="0.3">
      <c r="A8">
        <v>7</v>
      </c>
      <c r="B8" s="1">
        <v>44835</v>
      </c>
      <c r="C8">
        <v>762</v>
      </c>
      <c r="D8" s="3">
        <f t="shared" ref="D8:D31" si="4">AVERAGE(C3:C14)</f>
        <v>854.33333333333337</v>
      </c>
      <c r="E8" s="3">
        <f>AVERAGE(D7:D8)</f>
        <v>833.33333333333337</v>
      </c>
      <c r="F8" s="3">
        <f>E8/100</f>
        <v>8.3333333333333339</v>
      </c>
      <c r="G8" s="3">
        <v>81.148339704472946</v>
      </c>
      <c r="H8" s="3">
        <f t="shared" si="0"/>
        <v>939.02106041240177</v>
      </c>
      <c r="I8" s="3">
        <f t="shared" si="1"/>
        <v>870.81299999999999</v>
      </c>
      <c r="J8" s="3">
        <f t="shared" si="3"/>
        <v>706.65029143071195</v>
      </c>
      <c r="K8" s="3">
        <f t="shared" si="2"/>
        <v>7.2637412820587999</v>
      </c>
    </row>
    <row r="9" spans="1:11" x14ac:dyDescent="0.3">
      <c r="A9">
        <v>8</v>
      </c>
      <c r="B9" s="1">
        <v>44866</v>
      </c>
      <c r="C9">
        <v>852</v>
      </c>
      <c r="D9" s="3">
        <f t="shared" si="4"/>
        <v>904.33333333333337</v>
      </c>
      <c r="E9" s="3">
        <f t="shared" ref="E9:E31" si="5">AVERAGE(D8:D9)</f>
        <v>879.33333333333337</v>
      </c>
      <c r="F9" s="3">
        <f t="shared" ref="F9:F31" si="6">E9/100</f>
        <v>8.793333333333333</v>
      </c>
      <c r="G9" s="3">
        <v>84.875604590256771</v>
      </c>
      <c r="H9" s="3">
        <f t="shared" si="0"/>
        <v>1003.8220100028657</v>
      </c>
      <c r="I9" s="3">
        <f t="shared" si="1"/>
        <v>885.84199999999998</v>
      </c>
      <c r="J9" s="3">
        <f t="shared" si="3"/>
        <v>751.86375321442233</v>
      </c>
      <c r="K9" s="3">
        <f t="shared" si="2"/>
        <v>11.753080608635877</v>
      </c>
    </row>
    <row r="10" spans="1:11" x14ac:dyDescent="0.3">
      <c r="A10">
        <v>9</v>
      </c>
      <c r="B10" s="1">
        <v>44896</v>
      </c>
      <c r="C10">
        <v>1066</v>
      </c>
      <c r="D10" s="3">
        <f t="shared" si="4"/>
        <v>955.83333333333337</v>
      </c>
      <c r="E10" s="3">
        <f t="shared" si="5"/>
        <v>930.08333333333337</v>
      </c>
      <c r="F10" s="3">
        <f t="shared" si="6"/>
        <v>9.3008333333333333</v>
      </c>
      <c r="G10" s="3">
        <v>102.53282739811182</v>
      </c>
      <c r="H10" s="3">
        <f t="shared" si="0"/>
        <v>1039.6670286492372</v>
      </c>
      <c r="I10" s="3">
        <f t="shared" si="1"/>
        <v>900.87099999999998</v>
      </c>
      <c r="J10" s="3">
        <f t="shared" si="3"/>
        <v>923.68850750964396</v>
      </c>
      <c r="K10" s="3">
        <f t="shared" si="2"/>
        <v>13.350046199845783</v>
      </c>
    </row>
    <row r="11" spans="1:11" x14ac:dyDescent="0.3">
      <c r="A11">
        <v>10</v>
      </c>
      <c r="B11" s="1">
        <v>44927</v>
      </c>
      <c r="C11">
        <v>1073</v>
      </c>
      <c r="D11" s="3">
        <f t="shared" si="4"/>
        <v>1017.8333333333334</v>
      </c>
      <c r="E11" s="3">
        <f t="shared" si="5"/>
        <v>986.83333333333337</v>
      </c>
      <c r="F11" s="3">
        <f t="shared" si="6"/>
        <v>9.8683333333333341</v>
      </c>
      <c r="G11" s="3">
        <v>103.29431996457353</v>
      </c>
      <c r="H11" s="3">
        <f t="shared" si="0"/>
        <v>1038.7792865745209</v>
      </c>
      <c r="I11" s="3">
        <f t="shared" si="1"/>
        <v>915.9</v>
      </c>
      <c r="J11" s="3">
        <f t="shared" si="3"/>
        <v>946.07267655552891</v>
      </c>
      <c r="K11" s="3">
        <f t="shared" si="2"/>
        <v>11.829200693799729</v>
      </c>
    </row>
    <row r="12" spans="1:11" x14ac:dyDescent="0.3">
      <c r="A12">
        <v>11</v>
      </c>
      <c r="B12" s="1">
        <v>44958</v>
      </c>
      <c r="C12">
        <v>918</v>
      </c>
      <c r="D12" s="3">
        <f t="shared" si="4"/>
        <v>1074.8333333333333</v>
      </c>
      <c r="E12" s="3">
        <f t="shared" si="5"/>
        <v>1046.3333333333333</v>
      </c>
      <c r="F12" s="3">
        <f t="shared" si="6"/>
        <v>10.463333333333333</v>
      </c>
      <c r="G12" s="3">
        <v>82.696090604750324</v>
      </c>
      <c r="H12" s="3">
        <f t="shared" si="0"/>
        <v>1110.0887518221657</v>
      </c>
      <c r="I12" s="3">
        <f t="shared" si="1"/>
        <v>930.92899999999997</v>
      </c>
      <c r="J12" s="3">
        <f t="shared" si="3"/>
        <v>769.84188930589619</v>
      </c>
      <c r="K12" s="3">
        <f t="shared" si="2"/>
        <v>16.139227744455752</v>
      </c>
    </row>
    <row r="13" spans="1:11" x14ac:dyDescent="0.3">
      <c r="A13">
        <v>12</v>
      </c>
      <c r="B13" s="1">
        <v>44986</v>
      </c>
      <c r="C13">
        <v>1039</v>
      </c>
      <c r="D13" s="3">
        <f t="shared" si="4"/>
        <v>1118.1666666666667</v>
      </c>
      <c r="E13" s="3">
        <f t="shared" si="5"/>
        <v>1096.5</v>
      </c>
      <c r="F13" s="3">
        <f t="shared" si="6"/>
        <v>10.965</v>
      </c>
      <c r="G13" s="3">
        <v>87.842113592908106</v>
      </c>
      <c r="H13" s="3">
        <f t="shared" si="0"/>
        <v>1182.8039621349494</v>
      </c>
      <c r="I13" s="3">
        <f t="shared" si="1"/>
        <v>945.95800000000008</v>
      </c>
      <c r="J13" s="3">
        <f t="shared" si="3"/>
        <v>830.94950090120165</v>
      </c>
      <c r="K13" s="3">
        <f t="shared" si="2"/>
        <v>20.024109634148061</v>
      </c>
    </row>
    <row r="14" spans="1:11" x14ac:dyDescent="0.3">
      <c r="A14">
        <v>13</v>
      </c>
      <c r="B14" s="1">
        <v>45017</v>
      </c>
      <c r="C14">
        <v>1146</v>
      </c>
      <c r="D14" s="3">
        <f t="shared" si="4"/>
        <v>1124.75</v>
      </c>
      <c r="E14" s="3">
        <f t="shared" si="5"/>
        <v>1121.4583333333335</v>
      </c>
      <c r="F14" s="3">
        <f t="shared" si="6"/>
        <v>11.214583333333335</v>
      </c>
      <c r="G14" s="3">
        <v>98.984689144276942</v>
      </c>
      <c r="H14" s="3">
        <f t="shared" si="0"/>
        <v>1157.7548102713408</v>
      </c>
      <c r="I14" s="3">
        <f t="shared" si="1"/>
        <v>960.98700000000008</v>
      </c>
      <c r="J14" s="3">
        <f t="shared" si="3"/>
        <v>951.22999466691272</v>
      </c>
      <c r="K14" s="3">
        <f t="shared" si="2"/>
        <v>16.995637463620181</v>
      </c>
    </row>
    <row r="15" spans="1:11" x14ac:dyDescent="0.3">
      <c r="A15">
        <v>14</v>
      </c>
      <c r="B15" s="1">
        <v>45047</v>
      </c>
      <c r="C15">
        <v>1159</v>
      </c>
      <c r="D15" s="3">
        <f t="shared" si="4"/>
        <v>1125.9166666666667</v>
      </c>
      <c r="E15" s="3">
        <f t="shared" si="5"/>
        <v>1125.3333333333335</v>
      </c>
      <c r="F15" s="3">
        <f t="shared" si="6"/>
        <v>11.253333333333336</v>
      </c>
      <c r="G15" s="3">
        <v>101.07779175454247</v>
      </c>
      <c r="H15" s="3">
        <f t="shared" si="0"/>
        <v>1146.6415914729498</v>
      </c>
      <c r="I15" s="3">
        <f t="shared" si="1"/>
        <v>976.01600000000008</v>
      </c>
      <c r="J15" s="3">
        <f t="shared" si="3"/>
        <v>986.53541997101536</v>
      </c>
      <c r="K15" s="3">
        <f t="shared" si="2"/>
        <v>14.880464195770893</v>
      </c>
    </row>
    <row r="16" spans="1:11" x14ac:dyDescent="0.3">
      <c r="A16">
        <v>15</v>
      </c>
      <c r="B16" s="1">
        <v>45078</v>
      </c>
      <c r="C16">
        <v>1330</v>
      </c>
      <c r="D16" s="3">
        <f t="shared" si="4"/>
        <v>1126.1666666666667</v>
      </c>
      <c r="E16" s="3">
        <f t="shared" si="5"/>
        <v>1126.0416666666667</v>
      </c>
      <c r="F16" s="3">
        <f t="shared" si="6"/>
        <v>11.260416666666668</v>
      </c>
      <c r="G16" s="3">
        <v>108.22393331561693</v>
      </c>
      <c r="H16" s="3">
        <f t="shared" si="0"/>
        <v>1228.9333415015312</v>
      </c>
      <c r="I16" s="3">
        <f t="shared" si="1"/>
        <v>991.04500000000007</v>
      </c>
      <c r="J16" s="3">
        <f t="shared" si="3"/>
        <v>1072.547879927756</v>
      </c>
      <c r="K16" s="3">
        <f t="shared" si="2"/>
        <v>19.357302261070981</v>
      </c>
    </row>
    <row r="17" spans="1:11" x14ac:dyDescent="0.3">
      <c r="A17">
        <v>16</v>
      </c>
      <c r="B17" s="1">
        <v>45108</v>
      </c>
      <c r="C17">
        <v>1340</v>
      </c>
      <c r="D17" s="3">
        <f t="shared" si="4"/>
        <v>1131.9166666666667</v>
      </c>
      <c r="E17" s="3">
        <f t="shared" si="5"/>
        <v>1129.0416666666667</v>
      </c>
      <c r="F17" s="3">
        <f t="shared" si="6"/>
        <v>11.290416666666667</v>
      </c>
      <c r="G17" s="3">
        <v>110.63416050995214</v>
      </c>
      <c r="H17" s="3">
        <f t="shared" si="0"/>
        <v>1211.1991394190222</v>
      </c>
      <c r="I17" s="3">
        <f t="shared" si="1"/>
        <v>1006.0740000000001</v>
      </c>
      <c r="J17" s="3">
        <f t="shared" si="3"/>
        <v>1113.061524008896</v>
      </c>
      <c r="K17" s="3">
        <f t="shared" si="2"/>
        <v>16.935707163515225</v>
      </c>
    </row>
    <row r="18" spans="1:11" x14ac:dyDescent="0.3">
      <c r="A18">
        <v>17</v>
      </c>
      <c r="B18" s="1">
        <v>45139</v>
      </c>
      <c r="C18">
        <v>1355</v>
      </c>
      <c r="D18" s="3">
        <f t="shared" si="4"/>
        <v>1130.5833333333333</v>
      </c>
      <c r="E18" s="3">
        <f t="shared" si="5"/>
        <v>1131.25</v>
      </c>
      <c r="F18" s="3">
        <f t="shared" si="6"/>
        <v>11.3125</v>
      </c>
      <c r="G18" s="3">
        <v>113.98006325146112</v>
      </c>
      <c r="H18" s="3">
        <f t="shared" si="0"/>
        <v>1188.8043938093097</v>
      </c>
      <c r="I18" s="3">
        <f t="shared" si="1"/>
        <v>1021.1030000000001</v>
      </c>
      <c r="J18" s="3">
        <f t="shared" si="3"/>
        <v>1163.8538452625671</v>
      </c>
      <c r="K18" s="3">
        <f t="shared" si="2"/>
        <v>14.106727286895415</v>
      </c>
    </row>
    <row r="19" spans="1:11" x14ac:dyDescent="0.3">
      <c r="A19">
        <v>18</v>
      </c>
      <c r="B19" s="1">
        <v>45170</v>
      </c>
      <c r="C19">
        <v>1378</v>
      </c>
      <c r="D19" s="3">
        <f t="shared" si="4"/>
        <v>1122.8333333333333</v>
      </c>
      <c r="E19" s="3">
        <f t="shared" si="5"/>
        <v>1126.7083333333333</v>
      </c>
      <c r="F19" s="3">
        <f t="shared" si="6"/>
        <v>11.267083333333332</v>
      </c>
      <c r="G19" s="3">
        <v>124.71006616907687</v>
      </c>
      <c r="H19" s="3">
        <f t="shared" si="0"/>
        <v>1104.9629290804507</v>
      </c>
      <c r="I19" s="3">
        <f t="shared" si="1"/>
        <v>1036.1320000000001</v>
      </c>
      <c r="J19" s="3">
        <f t="shared" si="3"/>
        <v>1292.1609027989796</v>
      </c>
      <c r="K19" s="3">
        <f t="shared" si="2"/>
        <v>6.2292523367939348</v>
      </c>
    </row>
    <row r="20" spans="1:11" x14ac:dyDescent="0.3">
      <c r="A20">
        <v>19</v>
      </c>
      <c r="B20" s="1">
        <v>45200</v>
      </c>
      <c r="C20">
        <v>841</v>
      </c>
      <c r="D20" s="3">
        <f t="shared" si="4"/>
        <v>1121.6666666666667</v>
      </c>
      <c r="E20" s="3">
        <f t="shared" si="5"/>
        <v>1122.25</v>
      </c>
      <c r="F20" s="3">
        <f t="shared" si="6"/>
        <v>11.2225</v>
      </c>
      <c r="G20" s="3">
        <v>81.148339704472946</v>
      </c>
      <c r="H20" s="3">
        <f t="shared" si="0"/>
        <v>1036.3736375417716</v>
      </c>
      <c r="I20" s="3">
        <f t="shared" si="1"/>
        <v>1051.1610000000001</v>
      </c>
      <c r="J20" s="3">
        <f t="shared" si="3"/>
        <v>852.99969912093502</v>
      </c>
      <c r="K20" s="3">
        <f t="shared" si="2"/>
        <v>1.4268369941658763</v>
      </c>
    </row>
    <row r="21" spans="1:11" x14ac:dyDescent="0.3">
      <c r="A21">
        <v>20</v>
      </c>
      <c r="B21" s="1">
        <v>45231</v>
      </c>
      <c r="C21">
        <v>866</v>
      </c>
      <c r="D21" s="3">
        <f t="shared" si="4"/>
        <v>1123.9166666666667</v>
      </c>
      <c r="E21" s="3">
        <f t="shared" si="5"/>
        <v>1122.7916666666667</v>
      </c>
      <c r="F21" s="3">
        <f t="shared" si="6"/>
        <v>11.227916666666667</v>
      </c>
      <c r="G21" s="3">
        <v>84.875604590256771</v>
      </c>
      <c r="H21" s="3">
        <f t="shared" si="0"/>
        <v>1020.3167378667624</v>
      </c>
      <c r="I21" s="3">
        <f t="shared" si="1"/>
        <v>1066.19</v>
      </c>
      <c r="J21" s="3">
        <f t="shared" si="3"/>
        <v>904.93520858085878</v>
      </c>
      <c r="K21" s="3">
        <f t="shared" si="2"/>
        <v>4.4959825151107147</v>
      </c>
    </row>
    <row r="22" spans="1:11" x14ac:dyDescent="0.3">
      <c r="A22">
        <v>21</v>
      </c>
      <c r="B22" s="1">
        <v>45261</v>
      </c>
      <c r="C22">
        <v>1069</v>
      </c>
      <c r="D22" s="3">
        <f t="shared" si="4"/>
        <v>1112.25</v>
      </c>
      <c r="E22" s="3">
        <f t="shared" si="5"/>
        <v>1118.0833333333335</v>
      </c>
      <c r="F22" s="3">
        <f t="shared" si="6"/>
        <v>11.180833333333334</v>
      </c>
      <c r="G22" s="3">
        <v>102.53282739811182</v>
      </c>
      <c r="H22" s="3">
        <f t="shared" si="0"/>
        <v>1042.5929208499385</v>
      </c>
      <c r="I22" s="3">
        <f t="shared" si="1"/>
        <v>1081.2190000000001</v>
      </c>
      <c r="J22" s="3">
        <f t="shared" si="3"/>
        <v>1108.6044110655907</v>
      </c>
      <c r="K22" s="3">
        <f t="shared" si="2"/>
        <v>3.704809267127291</v>
      </c>
    </row>
    <row r="23" spans="1:11" x14ac:dyDescent="0.3">
      <c r="A23">
        <v>22</v>
      </c>
      <c r="B23" s="1">
        <v>45292</v>
      </c>
      <c r="C23">
        <v>1142</v>
      </c>
      <c r="D23" s="3">
        <f t="shared" si="4"/>
        <v>1104.0833333333333</v>
      </c>
      <c r="E23" s="3">
        <f t="shared" si="5"/>
        <v>1108.1666666666665</v>
      </c>
      <c r="F23" s="3">
        <f t="shared" si="6"/>
        <v>11.081666666666665</v>
      </c>
      <c r="G23" s="3">
        <v>103.29431996457353</v>
      </c>
      <c r="H23" s="3">
        <f t="shared" si="0"/>
        <v>1105.5787001566664</v>
      </c>
      <c r="I23" s="3">
        <f t="shared" si="1"/>
        <v>1096.248</v>
      </c>
      <c r="J23" s="3">
        <f t="shared" si="3"/>
        <v>1132.3619167252382</v>
      </c>
      <c r="K23" s="3">
        <f t="shared" si="2"/>
        <v>0.84396526048702381</v>
      </c>
    </row>
    <row r="24" spans="1:11" x14ac:dyDescent="0.3">
      <c r="A24">
        <v>23</v>
      </c>
      <c r="B24" s="1">
        <v>45323</v>
      </c>
      <c r="C24">
        <v>902</v>
      </c>
      <c r="D24" s="3">
        <f t="shared" si="4"/>
        <v>1100.8333333333333</v>
      </c>
      <c r="E24" s="3">
        <f t="shared" si="5"/>
        <v>1102.4583333333333</v>
      </c>
      <c r="F24" s="3">
        <f t="shared" si="6"/>
        <v>11.024583333333332</v>
      </c>
      <c r="G24" s="3">
        <v>82.696090604750324</v>
      </c>
      <c r="H24" s="3">
        <f t="shared" si="0"/>
        <v>1090.7407997206899</v>
      </c>
      <c r="I24" s="3">
        <f t="shared" si="1"/>
        <v>1111.277</v>
      </c>
      <c r="J24" s="3">
        <f t="shared" si="3"/>
        <v>918.98263478975127</v>
      </c>
      <c r="K24" s="3">
        <f t="shared" si="2"/>
        <v>1.8827754755821811</v>
      </c>
    </row>
    <row r="25" spans="1:11" x14ac:dyDescent="0.3">
      <c r="A25">
        <v>24</v>
      </c>
      <c r="B25" s="1">
        <v>45352</v>
      </c>
      <c r="C25">
        <v>946</v>
      </c>
      <c r="D25" s="3">
        <f t="shared" si="4"/>
        <v>1116</v>
      </c>
      <c r="E25" s="3">
        <f t="shared" si="5"/>
        <v>1108.4166666666665</v>
      </c>
      <c r="F25" s="3">
        <f t="shared" si="6"/>
        <v>11.084166666666665</v>
      </c>
      <c r="G25" s="3">
        <v>87.842113592908106</v>
      </c>
      <c r="H25" s="3">
        <f t="shared" si="0"/>
        <v>1076.9321926656999</v>
      </c>
      <c r="I25" s="3">
        <f t="shared" si="1"/>
        <v>1126.306</v>
      </c>
      <c r="J25" s="3">
        <f t="shared" si="3"/>
        <v>989.37099592373954</v>
      </c>
      <c r="K25" s="3">
        <f t="shared" si="2"/>
        <v>4.584671873545406</v>
      </c>
    </row>
    <row r="26" spans="1:11" x14ac:dyDescent="0.3">
      <c r="A26">
        <v>25</v>
      </c>
      <c r="B26" s="1">
        <v>45383</v>
      </c>
      <c r="C26">
        <v>1132</v>
      </c>
      <c r="D26" s="3">
        <f t="shared" si="4"/>
        <v>1130.9166666666667</v>
      </c>
      <c r="E26" s="3">
        <f t="shared" si="5"/>
        <v>1123.4583333333335</v>
      </c>
      <c r="F26" s="3">
        <f t="shared" si="6"/>
        <v>11.234583333333335</v>
      </c>
      <c r="G26" s="3">
        <v>98.984689144276942</v>
      </c>
      <c r="H26" s="3">
        <f t="shared" si="0"/>
        <v>1143.6112087497013</v>
      </c>
      <c r="I26" s="3">
        <f t="shared" si="1"/>
        <v>1141.335</v>
      </c>
      <c r="J26" s="3">
        <f t="shared" si="3"/>
        <v>1129.7469018448332</v>
      </c>
      <c r="K26" s="3">
        <f t="shared" si="2"/>
        <v>0.1990369395023634</v>
      </c>
    </row>
    <row r="27" spans="1:11" x14ac:dyDescent="0.3">
      <c r="A27">
        <v>26</v>
      </c>
      <c r="B27" s="1">
        <v>45413</v>
      </c>
      <c r="C27">
        <v>1186</v>
      </c>
      <c r="D27" s="3">
        <f t="shared" si="4"/>
        <v>1144.4166666666667</v>
      </c>
      <c r="E27" s="3">
        <f t="shared" si="5"/>
        <v>1137.6666666666667</v>
      </c>
      <c r="F27" s="3">
        <f t="shared" si="6"/>
        <v>11.376666666666667</v>
      </c>
      <c r="G27" s="3">
        <v>101.07779175454247</v>
      </c>
      <c r="H27" s="3">
        <f t="shared" si="0"/>
        <v>1173.3536906703353</v>
      </c>
      <c r="I27" s="3">
        <f t="shared" si="1"/>
        <v>1156.364</v>
      </c>
      <c r="J27" s="3">
        <f t="shared" si="3"/>
        <v>1168.8271958444975</v>
      </c>
      <c r="K27" s="3">
        <f t="shared" si="2"/>
        <v>1.4479598782042571</v>
      </c>
    </row>
    <row r="28" spans="1:11" x14ac:dyDescent="0.3">
      <c r="A28">
        <v>27</v>
      </c>
      <c r="B28" s="1">
        <v>45444</v>
      </c>
      <c r="C28">
        <v>1190</v>
      </c>
      <c r="D28" s="3">
        <f t="shared" si="4"/>
        <v>1148.9166666666667</v>
      </c>
      <c r="E28" s="3">
        <f t="shared" si="5"/>
        <v>1146.6666666666667</v>
      </c>
      <c r="F28" s="3">
        <f t="shared" si="6"/>
        <v>11.466666666666667</v>
      </c>
      <c r="G28" s="3">
        <v>108.22393331561693</v>
      </c>
      <c r="H28" s="3">
        <f t="shared" si="0"/>
        <v>1099.571937132949</v>
      </c>
      <c r="I28" s="3">
        <f t="shared" si="1"/>
        <v>1171.393</v>
      </c>
      <c r="J28" s="3">
        <f t="shared" si="3"/>
        <v>1267.7275791838047</v>
      </c>
      <c r="K28" s="3">
        <f t="shared" si="2"/>
        <v>6.5317293431768615</v>
      </c>
    </row>
    <row r="29" spans="1:11" x14ac:dyDescent="0.3">
      <c r="A29">
        <v>28</v>
      </c>
      <c r="B29" s="1">
        <v>45474</v>
      </c>
      <c r="C29">
        <v>1242</v>
      </c>
      <c r="D29" s="3">
        <f t="shared" si="4"/>
        <v>1147.9166666666667</v>
      </c>
      <c r="E29" s="3">
        <f t="shared" si="5"/>
        <v>1148.4166666666667</v>
      </c>
      <c r="F29" s="3">
        <f t="shared" si="6"/>
        <v>11.484166666666667</v>
      </c>
      <c r="G29" s="3">
        <v>110.63416050995214</v>
      </c>
      <c r="H29" s="3">
        <f t="shared" si="0"/>
        <v>1122.6189038495713</v>
      </c>
      <c r="I29" s="3">
        <f t="shared" si="1"/>
        <v>1186.422</v>
      </c>
      <c r="J29" s="3">
        <f t="shared" si="3"/>
        <v>1312.5880198053844</v>
      </c>
      <c r="K29" s="3">
        <f t="shared" si="2"/>
        <v>5.6834154432676662</v>
      </c>
    </row>
    <row r="30" spans="1:11" x14ac:dyDescent="0.3">
      <c r="A30">
        <v>29</v>
      </c>
      <c r="B30" s="1">
        <v>45505</v>
      </c>
      <c r="C30">
        <v>1316</v>
      </c>
      <c r="D30" s="3">
        <f t="shared" si="4"/>
        <v>1162.5833333333333</v>
      </c>
      <c r="E30" s="3">
        <f t="shared" si="5"/>
        <v>1155.25</v>
      </c>
      <c r="F30" s="3">
        <f t="shared" si="6"/>
        <v>11.5525</v>
      </c>
      <c r="G30" s="3">
        <v>113.98006325146112</v>
      </c>
      <c r="H30" s="3">
        <f t="shared" si="0"/>
        <v>1154.5878835815877</v>
      </c>
      <c r="I30" s="3">
        <f t="shared" si="1"/>
        <v>1201.451</v>
      </c>
      <c r="J30" s="3">
        <f t="shared" si="3"/>
        <v>1369.4146097353121</v>
      </c>
      <c r="K30" s="3">
        <f t="shared" si="2"/>
        <v>4.0588609221361756</v>
      </c>
    </row>
    <row r="31" spans="1:11" x14ac:dyDescent="0.3">
      <c r="A31">
        <v>30</v>
      </c>
      <c r="B31" s="1">
        <v>45536</v>
      </c>
      <c r="C31">
        <v>1560</v>
      </c>
      <c r="D31" s="3">
        <f t="shared" si="4"/>
        <v>1176.4166666666667</v>
      </c>
      <c r="E31" s="3">
        <f t="shared" si="5"/>
        <v>1169.5</v>
      </c>
      <c r="F31" s="3">
        <f t="shared" si="6"/>
        <v>11.695</v>
      </c>
      <c r="G31" s="3">
        <v>124.71006616907687</v>
      </c>
      <c r="H31" s="3">
        <f t="shared" si="0"/>
        <v>1250.9014291476801</v>
      </c>
      <c r="I31" s="3">
        <f t="shared" si="1"/>
        <v>1216.48</v>
      </c>
      <c r="J31" s="3">
        <f t="shared" si="3"/>
        <v>1517.0730129335864</v>
      </c>
      <c r="K31" s="3">
        <f t="shared" si="2"/>
        <v>2.7517299401547199</v>
      </c>
    </row>
    <row r="32" spans="1:11" x14ac:dyDescent="0.3">
      <c r="A32">
        <v>31</v>
      </c>
      <c r="B32" s="1">
        <v>45566</v>
      </c>
      <c r="C32">
        <v>1020</v>
      </c>
      <c r="E32" s="3"/>
      <c r="G32" s="3">
        <v>81.148339704472946</v>
      </c>
      <c r="H32" s="3">
        <f t="shared" si="0"/>
        <v>1256.9573249614828</v>
      </c>
      <c r="I32" s="3">
        <f t="shared" si="1"/>
        <v>1231.509</v>
      </c>
      <c r="J32" s="3">
        <f t="shared" si="3"/>
        <v>999.34910681115764</v>
      </c>
      <c r="K32" s="3">
        <f t="shared" si="2"/>
        <v>2.0245973714551333</v>
      </c>
    </row>
    <row r="33" spans="1:11" x14ac:dyDescent="0.3">
      <c r="A33">
        <v>32</v>
      </c>
      <c r="B33" s="1">
        <v>45597</v>
      </c>
      <c r="C33">
        <v>1028</v>
      </c>
      <c r="G33" s="3">
        <v>84.875604590256771</v>
      </c>
      <c r="H33" s="3">
        <f t="shared" si="0"/>
        <v>1211.1843031489975</v>
      </c>
      <c r="I33" s="3">
        <f t="shared" si="1"/>
        <v>1246.538</v>
      </c>
      <c r="J33" s="3">
        <f t="shared" si="3"/>
        <v>1058.006663947295</v>
      </c>
      <c r="K33" s="3">
        <f t="shared" si="2"/>
        <v>2.9189361816434833</v>
      </c>
    </row>
    <row r="34" spans="1:11" x14ac:dyDescent="0.3">
      <c r="A34">
        <v>33</v>
      </c>
      <c r="B34" s="1">
        <v>45627</v>
      </c>
      <c r="C34">
        <v>1123</v>
      </c>
      <c r="G34" s="3">
        <v>102.53282739811182</v>
      </c>
      <c r="H34" s="3">
        <f t="shared" si="0"/>
        <v>1095.2589804625641</v>
      </c>
      <c r="I34" s="3">
        <f t="shared" si="1"/>
        <v>1261.567</v>
      </c>
      <c r="J34" s="3">
        <f t="shared" si="3"/>
        <v>1293.5203146215374</v>
      </c>
      <c r="K34" s="3">
        <f t="shared" si="2"/>
        <v>15.184355709843045</v>
      </c>
    </row>
    <row r="35" spans="1:11" x14ac:dyDescent="0.3">
      <c r="A35">
        <v>34</v>
      </c>
      <c r="B35" s="1">
        <v>45658</v>
      </c>
      <c r="C35">
        <v>1130</v>
      </c>
      <c r="G35" s="3">
        <v>103.29431996457353</v>
      </c>
      <c r="H35" s="3">
        <f t="shared" si="0"/>
        <v>1093.9614108380324</v>
      </c>
      <c r="I35" s="3">
        <f t="shared" si="1"/>
        <v>1276.596</v>
      </c>
      <c r="J35" s="3">
        <f t="shared" si="3"/>
        <v>1318.651156894947</v>
      </c>
      <c r="K35" s="3">
        <f t="shared" si="2"/>
        <v>16.69479264557053</v>
      </c>
    </row>
    <row r="36" spans="1:11" x14ac:dyDescent="0.3">
      <c r="A36">
        <v>35</v>
      </c>
      <c r="B36" s="1">
        <v>45689</v>
      </c>
      <c r="C36">
        <v>1078</v>
      </c>
      <c r="G36" s="3">
        <v>82.696090604750324</v>
      </c>
      <c r="H36" s="3">
        <f t="shared" si="0"/>
        <v>1303.568272836922</v>
      </c>
      <c r="I36" s="3">
        <f t="shared" si="1"/>
        <v>1291.625</v>
      </c>
      <c r="J36" s="3">
        <f t="shared" si="3"/>
        <v>1068.1233802736062</v>
      </c>
      <c r="K36" s="3">
        <f t="shared" si="2"/>
        <v>0.91619849038903112</v>
      </c>
    </row>
    <row r="37" spans="1:11" x14ac:dyDescent="0.3">
      <c r="A37">
        <v>36</v>
      </c>
      <c r="B37" s="1">
        <v>45717</v>
      </c>
      <c r="C37">
        <v>1112</v>
      </c>
      <c r="G37" s="3">
        <v>87.842113592908106</v>
      </c>
      <c r="H37" s="3">
        <f t="shared" si="0"/>
        <v>1265.9076091376937</v>
      </c>
      <c r="I37" s="3">
        <f t="shared" si="1"/>
        <v>1306.654</v>
      </c>
      <c r="J37" s="3">
        <f t="shared" si="3"/>
        <v>1147.7924909462774</v>
      </c>
      <c r="K37" s="3">
        <f t="shared" si="2"/>
        <v>3.2187491858163164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2025-04-04T14:59:03Z</cp:lastPrinted>
  <dcterms:created xsi:type="dcterms:W3CDTF">2025-03-16T13:32:04Z</dcterms:created>
  <dcterms:modified xsi:type="dcterms:W3CDTF">2025-05-05T07:04:27Z</dcterms:modified>
</cp:coreProperties>
</file>
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SH JINDAL\Desktop\Icons\Project File\"/>
    </mc:Choice>
  </mc:AlternateContent>
  <xr:revisionPtr revIDLastSave="0" documentId="13_ncr:1_{472A40FD-3E84-4CED-94DD-6003A6D531A4}" xr6:coauthVersionLast="47" xr6:coauthVersionMax="47" xr10:uidLastSave="{00000000-0000-0000-0000-000000000000}"/>
  <bookViews>
    <workbookView xWindow="-108" yWindow="-108" windowWidth="23256" windowHeight="12456" firstSheet="1" activeTab="7" xr2:uid="{97CA1596-5BD0-4851-8292-0BFD22AEF719}"/>
  </bookViews>
  <sheets>
    <sheet name="MS653209 " sheetId="10" r:id="rId1"/>
    <sheet name="WS159847 " sheetId="9" r:id="rId2"/>
    <sheet name="AC693208" sheetId="8" r:id="rId3"/>
    <sheet name="AAE914763 " sheetId="7" r:id="rId4"/>
    <sheet name="ASP763504 " sheetId="6" r:id="rId5"/>
    <sheet name="ACEB405938 " sheetId="5" r:id="rId6"/>
    <sheet name="AAEB329176 " sheetId="4" r:id="rId7"/>
    <sheet name="LSS650478 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8" i="10" l="1"/>
  <c r="M51" i="10"/>
  <c r="L51" i="10"/>
  <c r="K51" i="10"/>
  <c r="J51" i="10"/>
  <c r="I51" i="10"/>
  <c r="H51" i="10"/>
  <c r="G51" i="10"/>
  <c r="F51" i="10"/>
  <c r="E51" i="10"/>
  <c r="D51" i="10"/>
  <c r="C51" i="10"/>
  <c r="B51" i="10"/>
  <c r="J52" i="10" s="1"/>
  <c r="B68" i="9"/>
  <c r="M51" i="9" s="1"/>
  <c r="I51" i="9"/>
  <c r="B68" i="8"/>
  <c r="B51" i="8" s="1"/>
  <c r="B68" i="7"/>
  <c r="L51" i="7" s="1"/>
  <c r="B68" i="6"/>
  <c r="K51" i="6" s="1"/>
  <c r="B68" i="5"/>
  <c r="C51" i="5" s="1"/>
  <c r="M51" i="5"/>
  <c r="L51" i="5"/>
  <c r="K51" i="5"/>
  <c r="J51" i="5"/>
  <c r="I51" i="5"/>
  <c r="H51" i="5"/>
  <c r="G51" i="5"/>
  <c r="F51" i="5"/>
  <c r="E51" i="5"/>
  <c r="D51" i="5"/>
  <c r="B68" i="4"/>
  <c r="L52" i="4"/>
  <c r="K52" i="4"/>
  <c r="F52" i="4"/>
  <c r="E52" i="4"/>
  <c r="M51" i="4"/>
  <c r="L51" i="4"/>
  <c r="K51" i="4"/>
  <c r="J51" i="4"/>
  <c r="I51" i="4"/>
  <c r="H51" i="4"/>
  <c r="G51" i="4"/>
  <c r="F51" i="4"/>
  <c r="E51" i="4"/>
  <c r="D51" i="4"/>
  <c r="C51" i="4"/>
  <c r="B51" i="4"/>
  <c r="J52" i="4" s="1"/>
  <c r="B68" i="1"/>
  <c r="M51" i="1" s="1"/>
  <c r="C52" i="10" l="1"/>
  <c r="H53" i="10" s="1"/>
  <c r="D52" i="10"/>
  <c r="E52" i="10"/>
  <c r="F52" i="10"/>
  <c r="B63" i="10"/>
  <c r="G52" i="10"/>
  <c r="H52" i="10"/>
  <c r="I52" i="10"/>
  <c r="K52" i="10"/>
  <c r="L52" i="10"/>
  <c r="M52" i="10"/>
  <c r="J53" i="10"/>
  <c r="F51" i="9"/>
  <c r="L51" i="9"/>
  <c r="C51" i="9"/>
  <c r="B51" i="9"/>
  <c r="D51" i="9"/>
  <c r="E51" i="9"/>
  <c r="G51" i="9"/>
  <c r="H51" i="9"/>
  <c r="J51" i="9"/>
  <c r="K51" i="9"/>
  <c r="B63" i="9"/>
  <c r="G52" i="9"/>
  <c r="H52" i="9"/>
  <c r="J52" i="9"/>
  <c r="L52" i="9"/>
  <c r="M52" i="8"/>
  <c r="B63" i="8"/>
  <c r="D52" i="8"/>
  <c r="F52" i="8"/>
  <c r="E52" i="8"/>
  <c r="C52" i="8"/>
  <c r="H53" i="8" s="1"/>
  <c r="G51" i="8"/>
  <c r="J51" i="8"/>
  <c r="M51" i="8"/>
  <c r="C51" i="8"/>
  <c r="C63" i="8" s="1"/>
  <c r="E51" i="8"/>
  <c r="H51" i="8"/>
  <c r="L51" i="8"/>
  <c r="D51" i="8"/>
  <c r="F51" i="8"/>
  <c r="I51" i="8"/>
  <c r="K51" i="8"/>
  <c r="G52" i="8"/>
  <c r="L52" i="8"/>
  <c r="H52" i="8"/>
  <c r="I52" i="8"/>
  <c r="K52" i="8"/>
  <c r="J52" i="8"/>
  <c r="D53" i="8"/>
  <c r="E53" i="8"/>
  <c r="M51" i="7"/>
  <c r="D51" i="7"/>
  <c r="E51" i="7"/>
  <c r="G51" i="7"/>
  <c r="H51" i="7"/>
  <c r="J51" i="7"/>
  <c r="B51" i="7"/>
  <c r="C51" i="7"/>
  <c r="F51" i="7"/>
  <c r="I51" i="7"/>
  <c r="K51" i="7"/>
  <c r="L51" i="6"/>
  <c r="B51" i="6"/>
  <c r="C51" i="6"/>
  <c r="D51" i="6"/>
  <c r="G51" i="6"/>
  <c r="H51" i="6"/>
  <c r="M51" i="6"/>
  <c r="E51" i="6"/>
  <c r="F51" i="6"/>
  <c r="I51" i="6"/>
  <c r="J51" i="6"/>
  <c r="B51" i="5"/>
  <c r="M52" i="4"/>
  <c r="B63" i="4"/>
  <c r="C52" i="4"/>
  <c r="D52" i="4"/>
  <c r="G52" i="4"/>
  <c r="H52" i="4"/>
  <c r="I52" i="4"/>
  <c r="K51" i="1"/>
  <c r="L51" i="1"/>
  <c r="J51" i="1"/>
  <c r="B51" i="1"/>
  <c r="F52" i="1" s="1"/>
  <c r="C51" i="1"/>
  <c r="D51" i="1"/>
  <c r="E51" i="1"/>
  <c r="F51" i="1"/>
  <c r="G51" i="1"/>
  <c r="H51" i="1"/>
  <c r="I51" i="1"/>
  <c r="L52" i="1"/>
  <c r="M52" i="1"/>
  <c r="D52" i="1"/>
  <c r="E52" i="1"/>
  <c r="J52" i="1"/>
  <c r="C63" i="10" l="1"/>
  <c r="F53" i="10"/>
  <c r="K53" i="10"/>
  <c r="G53" i="10"/>
  <c r="L53" i="10"/>
  <c r="I53" i="10"/>
  <c r="E53" i="10"/>
  <c r="D53" i="10"/>
  <c r="E54" i="10" s="1"/>
  <c r="M53" i="10"/>
  <c r="J54" i="10"/>
  <c r="I54" i="10"/>
  <c r="H54" i="10"/>
  <c r="F54" i="10"/>
  <c r="M54" i="10"/>
  <c r="L54" i="10"/>
  <c r="K54" i="10"/>
  <c r="G54" i="10"/>
  <c r="M52" i="9"/>
  <c r="F52" i="9"/>
  <c r="E52" i="9"/>
  <c r="C52" i="9"/>
  <c r="D52" i="9"/>
  <c r="K52" i="9"/>
  <c r="I52" i="9"/>
  <c r="G53" i="8"/>
  <c r="M53" i="8"/>
  <c r="F53" i="8"/>
  <c r="K53" i="8"/>
  <c r="L53" i="8"/>
  <c r="J53" i="8"/>
  <c r="I53" i="8"/>
  <c r="M54" i="8"/>
  <c r="L54" i="8"/>
  <c r="I54" i="8"/>
  <c r="H54" i="8"/>
  <c r="F54" i="8"/>
  <c r="K54" i="8"/>
  <c r="G54" i="8"/>
  <c r="J54" i="8"/>
  <c r="E54" i="8"/>
  <c r="D63" i="8"/>
  <c r="M52" i="7"/>
  <c r="L52" i="7"/>
  <c r="J52" i="7"/>
  <c r="I52" i="7"/>
  <c r="E52" i="7"/>
  <c r="D52" i="7"/>
  <c r="K52" i="7"/>
  <c r="H52" i="7"/>
  <c r="G52" i="7"/>
  <c r="F52" i="7"/>
  <c r="B63" i="7"/>
  <c r="C52" i="7"/>
  <c r="C63" i="7" s="1"/>
  <c r="I52" i="6"/>
  <c r="H52" i="6"/>
  <c r="G52" i="6"/>
  <c r="F52" i="6"/>
  <c r="B63" i="6"/>
  <c r="E52" i="6"/>
  <c r="D52" i="6"/>
  <c r="M52" i="6"/>
  <c r="L52" i="6"/>
  <c r="K52" i="6"/>
  <c r="J52" i="6"/>
  <c r="C52" i="6"/>
  <c r="C63" i="6" s="1"/>
  <c r="H52" i="5"/>
  <c r="D52" i="5"/>
  <c r="C52" i="5"/>
  <c r="M52" i="5"/>
  <c r="G52" i="5"/>
  <c r="F52" i="5"/>
  <c r="B63" i="5"/>
  <c r="E52" i="5"/>
  <c r="L52" i="5"/>
  <c r="K52" i="5"/>
  <c r="J52" i="5"/>
  <c r="I52" i="5"/>
  <c r="E53" i="4"/>
  <c r="M53" i="4"/>
  <c r="L53" i="4"/>
  <c r="D53" i="4"/>
  <c r="D63" i="4" s="1"/>
  <c r="C63" i="4"/>
  <c r="K53" i="4"/>
  <c r="J53" i="4"/>
  <c r="I53" i="4"/>
  <c r="G53" i="4"/>
  <c r="H53" i="4"/>
  <c r="F53" i="4"/>
  <c r="K52" i="1"/>
  <c r="H52" i="1"/>
  <c r="C52" i="1"/>
  <c r="C63" i="1" s="1"/>
  <c r="G52" i="1"/>
  <c r="I52" i="1"/>
  <c r="B63" i="1"/>
  <c r="D63" i="10" l="1"/>
  <c r="G55" i="10"/>
  <c r="F55" i="10"/>
  <c r="M55" i="10"/>
  <c r="J55" i="10"/>
  <c r="I55" i="10"/>
  <c r="H55" i="10"/>
  <c r="L55" i="10"/>
  <c r="K55" i="10"/>
  <c r="E63" i="10"/>
  <c r="H53" i="9"/>
  <c r="E53" i="9"/>
  <c r="F53" i="9"/>
  <c r="G53" i="9"/>
  <c r="L53" i="9"/>
  <c r="M53" i="9"/>
  <c r="J53" i="9"/>
  <c r="D53" i="9"/>
  <c r="K53" i="9"/>
  <c r="I53" i="9"/>
  <c r="C63" i="9"/>
  <c r="G55" i="8"/>
  <c r="M55" i="8"/>
  <c r="K55" i="8"/>
  <c r="I55" i="8"/>
  <c r="F55" i="8"/>
  <c r="L55" i="8"/>
  <c r="H55" i="8"/>
  <c r="J55" i="8"/>
  <c r="E63" i="8"/>
  <c r="G53" i="7"/>
  <c r="F53" i="7"/>
  <c r="E53" i="7"/>
  <c r="M53" i="7"/>
  <c r="I53" i="7"/>
  <c r="D53" i="7"/>
  <c r="D63" i="7" s="1"/>
  <c r="L53" i="7"/>
  <c r="K53" i="7"/>
  <c r="J53" i="7"/>
  <c r="H53" i="7"/>
  <c r="F53" i="6"/>
  <c r="E53" i="6"/>
  <c r="D53" i="6"/>
  <c r="I53" i="6"/>
  <c r="G53" i="6"/>
  <c r="M53" i="6"/>
  <c r="L53" i="6"/>
  <c r="K53" i="6"/>
  <c r="J53" i="6"/>
  <c r="H53" i="6"/>
  <c r="J53" i="5"/>
  <c r="I53" i="5"/>
  <c r="H53" i="5"/>
  <c r="G53" i="5"/>
  <c r="F53" i="5"/>
  <c r="E53" i="5"/>
  <c r="M53" i="5"/>
  <c r="L53" i="5"/>
  <c r="K53" i="5"/>
  <c r="D53" i="5"/>
  <c r="C63" i="5"/>
  <c r="H54" i="4"/>
  <c r="K54" i="4"/>
  <c r="G54" i="4"/>
  <c r="F54" i="4"/>
  <c r="E54" i="4"/>
  <c r="L54" i="4"/>
  <c r="J54" i="4"/>
  <c r="I54" i="4"/>
  <c r="M54" i="4"/>
  <c r="M53" i="1"/>
  <c r="D53" i="1"/>
  <c r="D63" i="1" s="1"/>
  <c r="E53" i="1"/>
  <c r="G53" i="1"/>
  <c r="H53" i="1"/>
  <c r="I53" i="1"/>
  <c r="K53" i="1"/>
  <c r="F53" i="1"/>
  <c r="J53" i="1"/>
  <c r="L53" i="1"/>
  <c r="F54" i="1"/>
  <c r="E54" i="1"/>
  <c r="M56" i="10" l="1"/>
  <c r="L56" i="10"/>
  <c r="H56" i="10"/>
  <c r="G56" i="10"/>
  <c r="K56" i="10"/>
  <c r="J56" i="10"/>
  <c r="I56" i="10"/>
  <c r="F63" i="10"/>
  <c r="K54" i="9"/>
  <c r="F54" i="9"/>
  <c r="M54" i="9"/>
  <c r="L54" i="9"/>
  <c r="J54" i="9"/>
  <c r="H54" i="9"/>
  <c r="G54" i="9"/>
  <c r="D63" i="9"/>
  <c r="E54" i="9"/>
  <c r="I54" i="9"/>
  <c r="M56" i="8"/>
  <c r="H56" i="8"/>
  <c r="L56" i="8"/>
  <c r="K56" i="8"/>
  <c r="J56" i="8"/>
  <c r="I56" i="8"/>
  <c r="G56" i="8"/>
  <c r="F63" i="8"/>
  <c r="M54" i="7"/>
  <c r="L54" i="7"/>
  <c r="K54" i="7"/>
  <c r="H54" i="7"/>
  <c r="E54" i="7"/>
  <c r="J54" i="7"/>
  <c r="I54" i="7"/>
  <c r="G54" i="7"/>
  <c r="F54" i="7"/>
  <c r="M54" i="6"/>
  <c r="L54" i="6"/>
  <c r="K54" i="6"/>
  <c r="F54" i="6"/>
  <c r="E54" i="6"/>
  <c r="J54" i="6"/>
  <c r="I54" i="6"/>
  <c r="H54" i="6"/>
  <c r="G54" i="6"/>
  <c r="D63" i="6"/>
  <c r="E54" i="5"/>
  <c r="M54" i="5"/>
  <c r="K54" i="5"/>
  <c r="J54" i="5"/>
  <c r="I54" i="5"/>
  <c r="H54" i="5"/>
  <c r="L54" i="5"/>
  <c r="G54" i="5"/>
  <c r="F54" i="5"/>
  <c r="D63" i="5"/>
  <c r="M55" i="4"/>
  <c r="L55" i="4"/>
  <c r="K55" i="4"/>
  <c r="J55" i="4"/>
  <c r="I55" i="4"/>
  <c r="H55" i="4"/>
  <c r="G55" i="4"/>
  <c r="F55" i="4"/>
  <c r="E63" i="4"/>
  <c r="G54" i="1"/>
  <c r="I54" i="1"/>
  <c r="M54" i="1"/>
  <c r="H54" i="1"/>
  <c r="J54" i="1"/>
  <c r="K54" i="1"/>
  <c r="L54" i="1"/>
  <c r="K55" i="1"/>
  <c r="H55" i="1"/>
  <c r="G55" i="1"/>
  <c r="M55" i="1"/>
  <c r="J55" i="1"/>
  <c r="I55" i="1"/>
  <c r="F55" i="1"/>
  <c r="L55" i="1"/>
  <c r="E63" i="1"/>
  <c r="J57" i="10" l="1"/>
  <c r="I57" i="10"/>
  <c r="H57" i="10"/>
  <c r="M57" i="10"/>
  <c r="L57" i="10"/>
  <c r="K57" i="10"/>
  <c r="G63" i="10"/>
  <c r="L55" i="9"/>
  <c r="K55" i="9"/>
  <c r="E63" i="9"/>
  <c r="J55" i="9"/>
  <c r="I55" i="9"/>
  <c r="F55" i="9"/>
  <c r="M55" i="9"/>
  <c r="G55" i="9"/>
  <c r="H55" i="9"/>
  <c r="J57" i="8"/>
  <c r="H57" i="8"/>
  <c r="L57" i="8"/>
  <c r="I57" i="8"/>
  <c r="M57" i="8"/>
  <c r="K57" i="8"/>
  <c r="G63" i="8"/>
  <c r="F55" i="7"/>
  <c r="K55" i="7"/>
  <c r="J55" i="7"/>
  <c r="I55" i="7"/>
  <c r="M55" i="7"/>
  <c r="L55" i="7"/>
  <c r="H55" i="7"/>
  <c r="G55" i="7"/>
  <c r="E63" i="7"/>
  <c r="M55" i="6"/>
  <c r="L55" i="6"/>
  <c r="K55" i="6"/>
  <c r="J55" i="6"/>
  <c r="I55" i="6"/>
  <c r="G55" i="6"/>
  <c r="H55" i="6"/>
  <c r="F55" i="6"/>
  <c r="E63" i="6"/>
  <c r="M55" i="5"/>
  <c r="I55" i="5"/>
  <c r="H55" i="5"/>
  <c r="G55" i="5"/>
  <c r="F55" i="5"/>
  <c r="L55" i="5"/>
  <c r="K55" i="5"/>
  <c r="J55" i="5"/>
  <c r="E63" i="5"/>
  <c r="I56" i="4"/>
  <c r="L56" i="4"/>
  <c r="K56" i="4"/>
  <c r="J56" i="4"/>
  <c r="H56" i="4"/>
  <c r="G56" i="4"/>
  <c r="M56" i="4"/>
  <c r="F63" i="4"/>
  <c r="L56" i="1"/>
  <c r="J56" i="1"/>
  <c r="M56" i="1"/>
  <c r="K56" i="1"/>
  <c r="I56" i="1"/>
  <c r="H56" i="1"/>
  <c r="G56" i="1"/>
  <c r="F63" i="1"/>
  <c r="J58" i="10" l="1"/>
  <c r="M58" i="10"/>
  <c r="L58" i="10"/>
  <c r="K58" i="10"/>
  <c r="I58" i="10"/>
  <c r="H63" i="10"/>
  <c r="I63" i="10"/>
  <c r="G56" i="9"/>
  <c r="K56" i="9"/>
  <c r="F63" i="9"/>
  <c r="J56" i="9"/>
  <c r="M56" i="9"/>
  <c r="I56" i="9"/>
  <c r="H56" i="9"/>
  <c r="L56" i="9"/>
  <c r="I58" i="8"/>
  <c r="M58" i="8"/>
  <c r="K58" i="8"/>
  <c r="L58" i="8"/>
  <c r="J58" i="8"/>
  <c r="H63" i="8"/>
  <c r="M56" i="7"/>
  <c r="K56" i="7"/>
  <c r="J56" i="7"/>
  <c r="I56" i="7"/>
  <c r="H56" i="7"/>
  <c r="G56" i="7"/>
  <c r="L56" i="7"/>
  <c r="F63" i="7"/>
  <c r="M56" i="6"/>
  <c r="L56" i="6"/>
  <c r="K56" i="6"/>
  <c r="J56" i="6"/>
  <c r="I56" i="6"/>
  <c r="H56" i="6"/>
  <c r="G56" i="6"/>
  <c r="F63" i="6"/>
  <c r="M56" i="5"/>
  <c r="I56" i="5"/>
  <c r="H56" i="5"/>
  <c r="G56" i="5"/>
  <c r="L56" i="5"/>
  <c r="J56" i="5"/>
  <c r="K56" i="5"/>
  <c r="F63" i="5"/>
  <c r="M57" i="4"/>
  <c r="L57" i="4"/>
  <c r="K57" i="4"/>
  <c r="I57" i="4"/>
  <c r="J57" i="4"/>
  <c r="H57" i="4"/>
  <c r="G63" i="4"/>
  <c r="L57" i="1"/>
  <c r="K57" i="1"/>
  <c r="J57" i="1"/>
  <c r="M57" i="1"/>
  <c r="I57" i="1"/>
  <c r="H57" i="1"/>
  <c r="G63" i="1"/>
  <c r="H63" i="1"/>
  <c r="M59" i="10" l="1"/>
  <c r="L59" i="10"/>
  <c r="K59" i="10"/>
  <c r="J59" i="10"/>
  <c r="J57" i="9"/>
  <c r="I57" i="9"/>
  <c r="M57" i="9"/>
  <c r="K57" i="9"/>
  <c r="L57" i="9"/>
  <c r="H57" i="9"/>
  <c r="G63" i="9"/>
  <c r="M59" i="8"/>
  <c r="K59" i="8"/>
  <c r="L59" i="8"/>
  <c r="J59" i="8"/>
  <c r="I63" i="8"/>
  <c r="I57" i="7"/>
  <c r="H57" i="7"/>
  <c r="M57" i="7"/>
  <c r="L57" i="7"/>
  <c r="K57" i="7"/>
  <c r="J57" i="7"/>
  <c r="G63" i="7"/>
  <c r="H57" i="6"/>
  <c r="L57" i="6"/>
  <c r="K57" i="6"/>
  <c r="I57" i="6"/>
  <c r="M57" i="6"/>
  <c r="J57" i="6"/>
  <c r="G63" i="6"/>
  <c r="L57" i="5"/>
  <c r="K57" i="5"/>
  <c r="I57" i="5"/>
  <c r="H57" i="5"/>
  <c r="M57" i="5"/>
  <c r="J57" i="5"/>
  <c r="G63" i="5"/>
  <c r="M58" i="4"/>
  <c r="L58" i="4"/>
  <c r="K58" i="4"/>
  <c r="J58" i="4"/>
  <c r="I58" i="4"/>
  <c r="H63" i="4"/>
  <c r="I58" i="1"/>
  <c r="L58" i="1"/>
  <c r="K58" i="1"/>
  <c r="M58" i="1"/>
  <c r="J58" i="1"/>
  <c r="M60" i="10" l="1"/>
  <c r="K60" i="10"/>
  <c r="L60" i="10"/>
  <c r="J63" i="10"/>
  <c r="L58" i="9"/>
  <c r="J58" i="9"/>
  <c r="I58" i="9"/>
  <c r="K58" i="9"/>
  <c r="H63" i="9"/>
  <c r="M58" i="9"/>
  <c r="I63" i="9"/>
  <c r="L60" i="8"/>
  <c r="K60" i="8"/>
  <c r="M60" i="8"/>
  <c r="J63" i="8"/>
  <c r="M58" i="7"/>
  <c r="L58" i="7"/>
  <c r="K58" i="7"/>
  <c r="J58" i="7"/>
  <c r="I58" i="7"/>
  <c r="H63" i="7"/>
  <c r="M58" i="6"/>
  <c r="L58" i="6"/>
  <c r="K58" i="6"/>
  <c r="J58" i="6"/>
  <c r="I58" i="6"/>
  <c r="H63" i="6"/>
  <c r="K58" i="5"/>
  <c r="J58" i="5"/>
  <c r="I58" i="5"/>
  <c r="M58" i="5"/>
  <c r="L58" i="5"/>
  <c r="H63" i="5"/>
  <c r="J59" i="4"/>
  <c r="L59" i="4"/>
  <c r="K59" i="4"/>
  <c r="M59" i="4"/>
  <c r="I63" i="4"/>
  <c r="M59" i="1"/>
  <c r="L59" i="1"/>
  <c r="K59" i="1"/>
  <c r="J59" i="1"/>
  <c r="I63" i="1"/>
  <c r="L61" i="10" l="1"/>
  <c r="M61" i="10"/>
  <c r="K63" i="10"/>
  <c r="L59" i="9"/>
  <c r="K59" i="9"/>
  <c r="J59" i="9"/>
  <c r="M59" i="9"/>
  <c r="L61" i="8"/>
  <c r="M61" i="8"/>
  <c r="K63" i="8"/>
  <c r="M59" i="7"/>
  <c r="L59" i="7"/>
  <c r="K59" i="7"/>
  <c r="J59" i="7"/>
  <c r="I63" i="7"/>
  <c r="M59" i="6"/>
  <c r="L59" i="6"/>
  <c r="K59" i="6"/>
  <c r="J59" i="6"/>
  <c r="I63" i="6"/>
  <c r="M59" i="5"/>
  <c r="L59" i="5"/>
  <c r="K59" i="5"/>
  <c r="J59" i="5"/>
  <c r="I63" i="5"/>
  <c r="K60" i="4"/>
  <c r="M60" i="4"/>
  <c r="L60" i="4"/>
  <c r="J63" i="4"/>
  <c r="L60" i="1"/>
  <c r="K60" i="1"/>
  <c r="M60" i="1"/>
  <c r="J63" i="1"/>
  <c r="M62" i="10" l="1"/>
  <c r="L63" i="10"/>
  <c r="M60" i="9"/>
  <c r="L60" i="9"/>
  <c r="K60" i="9"/>
  <c r="J63" i="9"/>
  <c r="M62" i="8"/>
  <c r="L63" i="8"/>
  <c r="M60" i="7"/>
  <c r="L60" i="7"/>
  <c r="K60" i="7"/>
  <c r="J63" i="7"/>
  <c r="L60" i="6"/>
  <c r="K60" i="6"/>
  <c r="M60" i="6"/>
  <c r="J63" i="6"/>
  <c r="M60" i="5"/>
  <c r="L60" i="5"/>
  <c r="K60" i="5"/>
  <c r="J63" i="5"/>
  <c r="M61" i="4"/>
  <c r="L61" i="4"/>
  <c r="K63" i="4"/>
  <c r="L61" i="1"/>
  <c r="M61" i="1"/>
  <c r="K63" i="1"/>
  <c r="M66" i="10" l="1"/>
  <c r="M63" i="10"/>
  <c r="L61" i="9"/>
  <c r="M61" i="9"/>
  <c r="K63" i="9"/>
  <c r="M66" i="8"/>
  <c r="M63" i="8"/>
  <c r="M61" i="7"/>
  <c r="L61" i="7"/>
  <c r="K63" i="7"/>
  <c r="L61" i="6"/>
  <c r="M61" i="6"/>
  <c r="K63" i="6"/>
  <c r="M61" i="5"/>
  <c r="L61" i="5"/>
  <c r="K63" i="5"/>
  <c r="M62" i="4"/>
  <c r="L63" i="4"/>
  <c r="M62" i="1"/>
  <c r="L63" i="1"/>
  <c r="M62" i="9" l="1"/>
  <c r="L63" i="9"/>
  <c r="M62" i="7"/>
  <c r="L63" i="7"/>
  <c r="M62" i="6"/>
  <c r="L63" i="6"/>
  <c r="M62" i="5"/>
  <c r="L63" i="5"/>
  <c r="M66" i="4"/>
  <c r="M63" i="4"/>
  <c r="M66" i="1"/>
  <c r="M63" i="1"/>
  <c r="M66" i="9" l="1"/>
  <c r="M63" i="9"/>
  <c r="M66" i="7"/>
  <c r="M63" i="7"/>
  <c r="M66" i="6"/>
  <c r="M63" i="6"/>
  <c r="M66" i="5"/>
  <c r="M63" i="5"/>
</calcChain>
</file>

<file path=xl/sharedStrings.xml><?xml version="1.0" encoding="utf-8"?>
<sst xmlns="http://schemas.openxmlformats.org/spreadsheetml/2006/main" count="112" uniqueCount="15">
  <si>
    <t>Last Period With Ordering</t>
  </si>
  <si>
    <t>Planning Horizon</t>
  </si>
  <si>
    <t>S.No</t>
  </si>
  <si>
    <t>Months</t>
  </si>
  <si>
    <t>Forecasts</t>
  </si>
  <si>
    <t>C(per unit cost)</t>
  </si>
  <si>
    <t>I</t>
  </si>
  <si>
    <t>Cost of Procurement for this Model:</t>
  </si>
  <si>
    <t>IC/2</t>
  </si>
  <si>
    <t>A</t>
  </si>
  <si>
    <t>C(t)</t>
  </si>
  <si>
    <t>j(t)</t>
  </si>
  <si>
    <t>Demand</t>
  </si>
  <si>
    <t xml:space="preserve">Last Period </t>
  </si>
  <si>
    <t>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</si>
</sst>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95B3D7"/>
      </right>
      <top/>
      <bottom style="medium">
        <color rgb="FF95B3D7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95B3D7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1" fontId="0" fillId="2" borderId="1" xfId="0" applyNumberFormat="1" applyFill="1" applyBorder="1"/>
    <xf numFmtId="17" fontId="0" fillId="0" borderId="0" xfId="0" applyNumberFormat="1"/>
    <xf numFmtId="0" fontId="0" fillId="2" borderId="1" xfId="0" applyFill="1" applyBorder="1"/>
    <xf numFmtId="1" fontId="0" fillId="0" borderId="1" xfId="0" applyNumberFormat="1" applyBorder="1"/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5" borderId="4" xfId="0" applyFill="1" applyBorder="1"/>
    <xf numFmtId="0" fontId="0" fillId="5" borderId="5" xfId="0" applyFill="1" applyBorder="1"/>
    <xf numFmtId="0" fontId="0" fillId="0" borderId="4" xfId="0" applyBorder="1"/>
    <xf numFmtId="0" fontId="0" fillId="0" borderId="5" xfId="0" applyBorder="1"/>
    <xf numFmtId="164" fontId="1" fillId="0" borderId="0" xfId="0" applyNumberFormat="1" applyFont="1"/>
    <xf numFmtId="0" fontId="3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MS653209  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'MS653209 '!$O$49:$O$72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</c:numCache>
            </c:numRef>
          </c:xVal>
          <c:yVal>
            <c:numRef>
              <c:f>'MS653209 '!$P$49:$P$72</c:f>
              <c:numCache>
                <c:formatCode>General</c:formatCode>
                <c:ptCount val="24"/>
                <c:pt idx="0">
                  <c:v>1439</c:v>
                </c:pt>
                <c:pt idx="1">
                  <c:v>0</c:v>
                </c:pt>
                <c:pt idx="2">
                  <c:v>1401</c:v>
                </c:pt>
                <c:pt idx="3">
                  <c:v>0</c:v>
                </c:pt>
                <c:pt idx="4">
                  <c:v>1363</c:v>
                </c:pt>
                <c:pt idx="5">
                  <c:v>0</c:v>
                </c:pt>
                <c:pt idx="6">
                  <c:v>1445</c:v>
                </c:pt>
                <c:pt idx="7">
                  <c:v>0</c:v>
                </c:pt>
                <c:pt idx="8">
                  <c:v>1467</c:v>
                </c:pt>
                <c:pt idx="9">
                  <c:v>0</c:v>
                </c:pt>
                <c:pt idx="10">
                  <c:v>1363</c:v>
                </c:pt>
                <c:pt idx="11">
                  <c:v>0</c:v>
                </c:pt>
                <c:pt idx="12">
                  <c:v>1483</c:v>
                </c:pt>
                <c:pt idx="13">
                  <c:v>0</c:v>
                </c:pt>
                <c:pt idx="14">
                  <c:v>1589</c:v>
                </c:pt>
                <c:pt idx="15">
                  <c:v>0</c:v>
                </c:pt>
                <c:pt idx="16">
                  <c:v>1569</c:v>
                </c:pt>
                <c:pt idx="17">
                  <c:v>0</c:v>
                </c:pt>
                <c:pt idx="18">
                  <c:v>1510</c:v>
                </c:pt>
                <c:pt idx="19">
                  <c:v>0</c:v>
                </c:pt>
                <c:pt idx="20">
                  <c:v>1574</c:v>
                </c:pt>
                <c:pt idx="21">
                  <c:v>0</c:v>
                </c:pt>
                <c:pt idx="22">
                  <c:v>1553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9-4001-BF5C-7E4CEA6D7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54767"/>
        <c:axId val="1122652367"/>
      </c:scatterChart>
      <c:valAx>
        <c:axId val="112265476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2367"/>
        <c:crosses val="autoZero"/>
        <c:crossBetween val="midCat"/>
        <c:majorUnit val="1"/>
      </c:valAx>
      <c:valAx>
        <c:axId val="11226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Inventory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4767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WS159847 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'WS159847 '!$O$49:$O$72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</c:numCache>
            </c:numRef>
          </c:xVal>
          <c:yVal>
            <c:numRef>
              <c:f>'WS159847 '!$P$49:$P$72</c:f>
              <c:numCache>
                <c:formatCode>General</c:formatCode>
                <c:ptCount val="24"/>
                <c:pt idx="0">
                  <c:v>1573</c:v>
                </c:pt>
                <c:pt idx="1">
                  <c:v>0</c:v>
                </c:pt>
                <c:pt idx="2">
                  <c:v>1624</c:v>
                </c:pt>
                <c:pt idx="3">
                  <c:v>0</c:v>
                </c:pt>
                <c:pt idx="4">
                  <c:v>1768</c:v>
                </c:pt>
                <c:pt idx="5">
                  <c:v>0</c:v>
                </c:pt>
                <c:pt idx="6">
                  <c:v>1919</c:v>
                </c:pt>
                <c:pt idx="7">
                  <c:v>0</c:v>
                </c:pt>
                <c:pt idx="8">
                  <c:v>1837</c:v>
                </c:pt>
                <c:pt idx="9">
                  <c:v>0</c:v>
                </c:pt>
                <c:pt idx="10">
                  <c:v>1836</c:v>
                </c:pt>
                <c:pt idx="11">
                  <c:v>0</c:v>
                </c:pt>
                <c:pt idx="12">
                  <c:v>1760</c:v>
                </c:pt>
                <c:pt idx="13">
                  <c:v>0</c:v>
                </c:pt>
                <c:pt idx="14">
                  <c:v>1697</c:v>
                </c:pt>
                <c:pt idx="15">
                  <c:v>0</c:v>
                </c:pt>
                <c:pt idx="16">
                  <c:v>1667</c:v>
                </c:pt>
                <c:pt idx="17">
                  <c:v>0</c:v>
                </c:pt>
                <c:pt idx="18">
                  <c:v>1600</c:v>
                </c:pt>
                <c:pt idx="19">
                  <c:v>0</c:v>
                </c:pt>
                <c:pt idx="20">
                  <c:v>1540</c:v>
                </c:pt>
                <c:pt idx="21">
                  <c:v>0</c:v>
                </c:pt>
                <c:pt idx="22">
                  <c:v>1530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DF-45EF-B711-5FD77A2BD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54767"/>
        <c:axId val="1122652367"/>
      </c:scatterChart>
      <c:valAx>
        <c:axId val="112265476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2367"/>
        <c:crosses val="autoZero"/>
        <c:crossBetween val="midCat"/>
        <c:majorUnit val="1"/>
      </c:valAx>
      <c:valAx>
        <c:axId val="11226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Inventory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4767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AC693208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'AC693208'!$O$49:$O$72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</c:numCache>
            </c:numRef>
          </c:xVal>
          <c:yVal>
            <c:numRef>
              <c:f>'AC693208'!$P$49:$P$72</c:f>
              <c:numCache>
                <c:formatCode>General</c:formatCode>
                <c:ptCount val="24"/>
                <c:pt idx="0">
                  <c:v>1590</c:v>
                </c:pt>
                <c:pt idx="1">
                  <c:v>0</c:v>
                </c:pt>
                <c:pt idx="2">
                  <c:v>1613</c:v>
                </c:pt>
                <c:pt idx="3">
                  <c:v>0</c:v>
                </c:pt>
                <c:pt idx="4">
                  <c:v>1713</c:v>
                </c:pt>
                <c:pt idx="5">
                  <c:v>0</c:v>
                </c:pt>
                <c:pt idx="6">
                  <c:v>1895</c:v>
                </c:pt>
                <c:pt idx="7">
                  <c:v>0</c:v>
                </c:pt>
                <c:pt idx="8">
                  <c:v>1861</c:v>
                </c:pt>
                <c:pt idx="9">
                  <c:v>0</c:v>
                </c:pt>
                <c:pt idx="10">
                  <c:v>1880</c:v>
                </c:pt>
                <c:pt idx="11">
                  <c:v>0</c:v>
                </c:pt>
                <c:pt idx="12">
                  <c:v>1753</c:v>
                </c:pt>
                <c:pt idx="13">
                  <c:v>0</c:v>
                </c:pt>
                <c:pt idx="14">
                  <c:v>1692</c:v>
                </c:pt>
                <c:pt idx="15">
                  <c:v>0</c:v>
                </c:pt>
                <c:pt idx="16">
                  <c:v>1665</c:v>
                </c:pt>
                <c:pt idx="17">
                  <c:v>0</c:v>
                </c:pt>
                <c:pt idx="18">
                  <c:v>1600</c:v>
                </c:pt>
                <c:pt idx="19">
                  <c:v>0</c:v>
                </c:pt>
                <c:pt idx="20">
                  <c:v>1537</c:v>
                </c:pt>
                <c:pt idx="21">
                  <c:v>0</c:v>
                </c:pt>
                <c:pt idx="22">
                  <c:v>1524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B1-47B8-B426-5D19D631F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54767"/>
        <c:axId val="1122652367"/>
      </c:scatterChart>
      <c:valAx>
        <c:axId val="112265476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2367"/>
        <c:crosses val="autoZero"/>
        <c:crossBetween val="midCat"/>
        <c:majorUnit val="1"/>
      </c:valAx>
      <c:valAx>
        <c:axId val="11226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Inventory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4767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AAE914763   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'AAE914763 '!$O$49:$O$72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</c:numCache>
            </c:numRef>
          </c:xVal>
          <c:yVal>
            <c:numRef>
              <c:f>'AAE914763 '!$P$49:$P$72</c:f>
              <c:numCache>
                <c:formatCode>General</c:formatCode>
                <c:ptCount val="24"/>
                <c:pt idx="0">
                  <c:v>1210</c:v>
                </c:pt>
                <c:pt idx="1">
                  <c:v>0</c:v>
                </c:pt>
                <c:pt idx="2">
                  <c:v>1211</c:v>
                </c:pt>
                <c:pt idx="3">
                  <c:v>0</c:v>
                </c:pt>
                <c:pt idx="4">
                  <c:v>1348</c:v>
                </c:pt>
                <c:pt idx="5">
                  <c:v>0</c:v>
                </c:pt>
                <c:pt idx="6">
                  <c:v>1485</c:v>
                </c:pt>
                <c:pt idx="7">
                  <c:v>0</c:v>
                </c:pt>
                <c:pt idx="8">
                  <c:v>1478</c:v>
                </c:pt>
                <c:pt idx="9">
                  <c:v>0</c:v>
                </c:pt>
                <c:pt idx="10">
                  <c:v>1653</c:v>
                </c:pt>
                <c:pt idx="11">
                  <c:v>0</c:v>
                </c:pt>
                <c:pt idx="12">
                  <c:v>1252</c:v>
                </c:pt>
                <c:pt idx="13">
                  <c:v>0</c:v>
                </c:pt>
                <c:pt idx="14">
                  <c:v>1566</c:v>
                </c:pt>
                <c:pt idx="15">
                  <c:v>0</c:v>
                </c:pt>
                <c:pt idx="16">
                  <c:v>1690</c:v>
                </c:pt>
                <c:pt idx="17">
                  <c:v>0</c:v>
                </c:pt>
                <c:pt idx="18">
                  <c:v>1733</c:v>
                </c:pt>
                <c:pt idx="19">
                  <c:v>0</c:v>
                </c:pt>
                <c:pt idx="20">
                  <c:v>1347</c:v>
                </c:pt>
                <c:pt idx="21">
                  <c:v>0</c:v>
                </c:pt>
                <c:pt idx="22">
                  <c:v>1443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2-4E99-8266-25ACEF7A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54767"/>
        <c:axId val="1122652367"/>
      </c:scatterChart>
      <c:valAx>
        <c:axId val="112265476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2367"/>
        <c:crosses val="autoZero"/>
        <c:crossBetween val="midCat"/>
        <c:majorUnit val="1"/>
      </c:valAx>
      <c:valAx>
        <c:axId val="11226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Inventory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ASP763504  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'ASP763504 '!$O$49:$O$72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</c:numCache>
            </c:numRef>
          </c:xVal>
          <c:yVal>
            <c:numRef>
              <c:f>'ASP763504 '!$P$49:$P$72</c:f>
              <c:numCache>
                <c:formatCode>General</c:formatCode>
                <c:ptCount val="24"/>
                <c:pt idx="0">
                  <c:v>1250</c:v>
                </c:pt>
                <c:pt idx="1">
                  <c:v>0</c:v>
                </c:pt>
                <c:pt idx="2">
                  <c:v>1247</c:v>
                </c:pt>
                <c:pt idx="3">
                  <c:v>0</c:v>
                </c:pt>
                <c:pt idx="4">
                  <c:v>1286</c:v>
                </c:pt>
                <c:pt idx="5">
                  <c:v>0</c:v>
                </c:pt>
                <c:pt idx="6">
                  <c:v>1597</c:v>
                </c:pt>
                <c:pt idx="7">
                  <c:v>0</c:v>
                </c:pt>
                <c:pt idx="8">
                  <c:v>1636</c:v>
                </c:pt>
                <c:pt idx="9">
                  <c:v>0</c:v>
                </c:pt>
                <c:pt idx="10">
                  <c:v>1769</c:v>
                </c:pt>
                <c:pt idx="11">
                  <c:v>0</c:v>
                </c:pt>
                <c:pt idx="12">
                  <c:v>1269</c:v>
                </c:pt>
                <c:pt idx="13">
                  <c:v>0</c:v>
                </c:pt>
                <c:pt idx="14">
                  <c:v>1513</c:v>
                </c:pt>
                <c:pt idx="15">
                  <c:v>0</c:v>
                </c:pt>
                <c:pt idx="16">
                  <c:v>1327</c:v>
                </c:pt>
                <c:pt idx="17">
                  <c:v>0</c:v>
                </c:pt>
                <c:pt idx="18">
                  <c:v>1354</c:v>
                </c:pt>
                <c:pt idx="19">
                  <c:v>0</c:v>
                </c:pt>
                <c:pt idx="20">
                  <c:v>1639</c:v>
                </c:pt>
                <c:pt idx="21">
                  <c:v>0</c:v>
                </c:pt>
                <c:pt idx="22">
                  <c:v>1724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C-4BF9-A01D-37D262DF4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54767"/>
        <c:axId val="1122652367"/>
      </c:scatterChart>
      <c:valAx>
        <c:axId val="112265476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2367"/>
        <c:crosses val="autoZero"/>
        <c:crossBetween val="midCat"/>
        <c:majorUnit val="1"/>
      </c:valAx>
      <c:valAx>
        <c:axId val="11226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Inventory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ACEB405938 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'ACEB405938 '!$O$49:$O$72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</c:numCache>
            </c:numRef>
          </c:xVal>
          <c:yVal>
            <c:numRef>
              <c:f>'ACEB405938 '!$P$49:$P$72</c:f>
              <c:numCache>
                <c:formatCode>General</c:formatCode>
                <c:ptCount val="24"/>
                <c:pt idx="0">
                  <c:v>1235</c:v>
                </c:pt>
                <c:pt idx="1">
                  <c:v>0</c:v>
                </c:pt>
                <c:pt idx="2">
                  <c:v>1230</c:v>
                </c:pt>
                <c:pt idx="3">
                  <c:v>0</c:v>
                </c:pt>
                <c:pt idx="4">
                  <c:v>1339</c:v>
                </c:pt>
                <c:pt idx="5">
                  <c:v>0</c:v>
                </c:pt>
                <c:pt idx="6">
                  <c:v>1321</c:v>
                </c:pt>
                <c:pt idx="7">
                  <c:v>0</c:v>
                </c:pt>
                <c:pt idx="8">
                  <c:v>1376</c:v>
                </c:pt>
                <c:pt idx="9">
                  <c:v>0</c:v>
                </c:pt>
                <c:pt idx="10">
                  <c:v>1527</c:v>
                </c:pt>
                <c:pt idx="11">
                  <c:v>0</c:v>
                </c:pt>
                <c:pt idx="12">
                  <c:v>1136</c:v>
                </c:pt>
                <c:pt idx="13">
                  <c:v>0</c:v>
                </c:pt>
                <c:pt idx="14">
                  <c:v>1177</c:v>
                </c:pt>
                <c:pt idx="15">
                  <c:v>0</c:v>
                </c:pt>
                <c:pt idx="16">
                  <c:v>1348</c:v>
                </c:pt>
                <c:pt idx="17">
                  <c:v>0</c:v>
                </c:pt>
                <c:pt idx="18">
                  <c:v>1377</c:v>
                </c:pt>
                <c:pt idx="19">
                  <c:v>0</c:v>
                </c:pt>
                <c:pt idx="20">
                  <c:v>1228</c:v>
                </c:pt>
                <c:pt idx="21">
                  <c:v>0</c:v>
                </c:pt>
                <c:pt idx="22">
                  <c:v>1294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7-4302-AD45-E5A457288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54767"/>
        <c:axId val="1122652367"/>
      </c:scatterChart>
      <c:valAx>
        <c:axId val="112265476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2367"/>
        <c:crosses val="autoZero"/>
        <c:crossBetween val="midCat"/>
        <c:majorUnit val="1"/>
      </c:valAx>
      <c:valAx>
        <c:axId val="11226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Inventory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AAEB329176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'AAEB329176 '!$O$49:$O$72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</c:numCache>
            </c:numRef>
          </c:xVal>
          <c:yVal>
            <c:numRef>
              <c:f>'AAEB329176 '!$P$49:$P$72</c:f>
              <c:numCache>
                <c:formatCode>General</c:formatCode>
                <c:ptCount val="24"/>
                <c:pt idx="0">
                  <c:v>1187</c:v>
                </c:pt>
                <c:pt idx="1">
                  <c:v>0</c:v>
                </c:pt>
                <c:pt idx="2">
                  <c:v>1230</c:v>
                </c:pt>
                <c:pt idx="3">
                  <c:v>0</c:v>
                </c:pt>
                <c:pt idx="4">
                  <c:v>1167</c:v>
                </c:pt>
                <c:pt idx="5">
                  <c:v>0</c:v>
                </c:pt>
                <c:pt idx="6">
                  <c:v>1481</c:v>
                </c:pt>
                <c:pt idx="7">
                  <c:v>0</c:v>
                </c:pt>
                <c:pt idx="8">
                  <c:v>1598</c:v>
                </c:pt>
                <c:pt idx="9">
                  <c:v>0</c:v>
                </c:pt>
                <c:pt idx="10">
                  <c:v>1735</c:v>
                </c:pt>
                <c:pt idx="11">
                  <c:v>0</c:v>
                </c:pt>
                <c:pt idx="12">
                  <c:v>1219</c:v>
                </c:pt>
                <c:pt idx="13">
                  <c:v>0</c:v>
                </c:pt>
                <c:pt idx="14">
                  <c:v>1312</c:v>
                </c:pt>
                <c:pt idx="15">
                  <c:v>0</c:v>
                </c:pt>
                <c:pt idx="16">
                  <c:v>1658</c:v>
                </c:pt>
                <c:pt idx="17">
                  <c:v>0</c:v>
                </c:pt>
                <c:pt idx="18">
                  <c:v>1578</c:v>
                </c:pt>
                <c:pt idx="19">
                  <c:v>0</c:v>
                </c:pt>
                <c:pt idx="20">
                  <c:v>1433</c:v>
                </c:pt>
                <c:pt idx="21">
                  <c:v>0</c:v>
                </c:pt>
                <c:pt idx="22">
                  <c:v>1494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8-4799-A6BB-73F2772C3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654767"/>
        <c:axId val="1122652367"/>
      </c:scatterChart>
      <c:valAx>
        <c:axId val="112265476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Period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2367"/>
        <c:crosses val="autoZero"/>
        <c:crossBetween val="midCat"/>
        <c:majorUnit val="1"/>
      </c:valAx>
      <c:valAx>
        <c:axId val="11226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Inventory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LSS650478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'LSS650478 '!$P$49:$P$72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</c:numCache>
            </c:numRef>
          </c:xVal>
          <c:yVal>
            <c:numRef>
              <c:f>'LSS650478 '!$Q$49:$Q$72</c:f>
              <c:numCache>
                <c:formatCode>General</c:formatCode>
                <c:ptCount val="24"/>
                <c:pt idx="0">
                  <c:v>1254</c:v>
                </c:pt>
                <c:pt idx="1">
                  <c:v>0</c:v>
                </c:pt>
                <c:pt idx="2">
                  <c:v>1330</c:v>
                </c:pt>
                <c:pt idx="3">
                  <c:v>0</c:v>
                </c:pt>
                <c:pt idx="4">
                  <c:v>1038</c:v>
                </c:pt>
                <c:pt idx="5">
                  <c:v>0</c:v>
                </c:pt>
                <c:pt idx="6">
                  <c:v>1300</c:v>
                </c:pt>
                <c:pt idx="7">
                  <c:v>0</c:v>
                </c:pt>
                <c:pt idx="8">
                  <c:v>1593</c:v>
                </c:pt>
                <c:pt idx="9">
                  <c:v>0</c:v>
                </c:pt>
                <c:pt idx="10">
                  <c:v>1672</c:v>
                </c:pt>
                <c:pt idx="11">
                  <c:v>0</c:v>
                </c:pt>
                <c:pt idx="12">
                  <c:v>1089</c:v>
                </c:pt>
                <c:pt idx="13">
                  <c:v>0</c:v>
                </c:pt>
                <c:pt idx="14">
                  <c:v>1196</c:v>
                </c:pt>
                <c:pt idx="15">
                  <c:v>0</c:v>
                </c:pt>
                <c:pt idx="16">
                  <c:v>1011</c:v>
                </c:pt>
                <c:pt idx="17">
                  <c:v>0</c:v>
                </c:pt>
                <c:pt idx="18">
                  <c:v>1293</c:v>
                </c:pt>
                <c:pt idx="19">
                  <c:v>0</c:v>
                </c:pt>
                <c:pt idx="20">
                  <c:v>1387</c:v>
                </c:pt>
                <c:pt idx="21">
                  <c:v>0</c:v>
                </c:pt>
                <c:pt idx="22">
                  <c:v>1406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DB-4B9E-BEBB-C57CE4A55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886335"/>
        <c:axId val="335872895"/>
      </c:scatterChart>
      <c:valAx>
        <c:axId val="33588633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72895"/>
        <c:crosses val="autoZero"/>
        <c:crossBetween val="midCat"/>
        <c:majorUnit val="1"/>
      </c:valAx>
      <c:valAx>
        <c:axId val="33587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Inventory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88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73</xdr:row>
      <xdr:rowOff>95250</xdr:rowOff>
    </xdr:from>
    <xdr:to>
      <xdr:col>15</xdr:col>
      <xdr:colOff>594360</xdr:colOff>
      <xdr:row>96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AB125-42BF-495A-8C0A-FB21F9B8E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73</xdr:row>
      <xdr:rowOff>95250</xdr:rowOff>
    </xdr:from>
    <xdr:to>
      <xdr:col>15</xdr:col>
      <xdr:colOff>594360</xdr:colOff>
      <xdr:row>96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D776F-9AE6-4514-B410-08DD3CD65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73</xdr:row>
      <xdr:rowOff>95250</xdr:rowOff>
    </xdr:from>
    <xdr:to>
      <xdr:col>15</xdr:col>
      <xdr:colOff>594360</xdr:colOff>
      <xdr:row>96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CE003-0305-4EF7-A2FE-79594D135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73</xdr:row>
      <xdr:rowOff>95250</xdr:rowOff>
    </xdr:from>
    <xdr:to>
      <xdr:col>15</xdr:col>
      <xdr:colOff>594360</xdr:colOff>
      <xdr:row>96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B128-C836-46AB-902C-B0CCFAA54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73</xdr:row>
      <xdr:rowOff>95250</xdr:rowOff>
    </xdr:from>
    <xdr:to>
      <xdr:col>15</xdr:col>
      <xdr:colOff>594360</xdr:colOff>
      <xdr:row>96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7EF05-383E-4697-9AAB-7F3A64CA3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73</xdr:row>
      <xdr:rowOff>95250</xdr:rowOff>
    </xdr:from>
    <xdr:to>
      <xdr:col>15</xdr:col>
      <xdr:colOff>594360</xdr:colOff>
      <xdr:row>96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BCE986-198D-4334-857B-C3D1B055F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73</xdr:row>
      <xdr:rowOff>95250</xdr:rowOff>
    </xdr:from>
    <xdr:to>
      <xdr:col>15</xdr:col>
      <xdr:colOff>594360</xdr:colOff>
      <xdr:row>96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9B0C5-27BD-9958-FB13-FB9D3B1E0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137160</xdr:colOff>
      <xdr:row>48</xdr:row>
      <xdr:rowOff>121920</xdr:rowOff>
    </xdr:from>
    <xdr:to>
      <xdr:col>30</xdr:col>
      <xdr:colOff>373380</xdr:colOff>
      <xdr:row>68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1A271F-C27E-1947-CCF1-AA687685D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D398-8732-4315-BA5E-C134F369F8B9}">
  <sheetPr codeName="Sheet10"/>
  <dimension ref="A18:AA72"/>
  <sheetViews>
    <sheetView topLeftCell="A61" workbookViewId="0">
      <selection activeCell="Q68" sqref="Q68"/>
    </sheetView>
  </sheetViews>
  <sheetFormatPr defaultRowHeight="14.4" x14ac:dyDescent="0.3"/>
  <cols>
    <col min="13" max="13" width="14.77734375" bestFit="1" customWidth="1"/>
    <col min="15" max="15" width="22.77734375" bestFit="1" customWidth="1"/>
    <col min="16" max="20" width="12" bestFit="1" customWidth="1"/>
    <col min="21" max="21" width="15.33203125" bestFit="1" customWidth="1"/>
    <col min="22" max="27" width="12" bestFit="1" customWidth="1"/>
  </cols>
  <sheetData>
    <row r="18" spans="2:3" x14ac:dyDescent="0.3">
      <c r="B18" s="5"/>
      <c r="C18" s="8">
        <v>29192</v>
      </c>
    </row>
    <row r="35" spans="1:21" x14ac:dyDescent="0.3">
      <c r="A35" s="3" t="s">
        <v>2</v>
      </c>
      <c r="B35" s="3" t="s">
        <v>3</v>
      </c>
      <c r="C35" s="3" t="s">
        <v>4</v>
      </c>
    </row>
    <row r="36" spans="1:21" ht="15" thickBot="1" x14ac:dyDescent="0.35">
      <c r="A36" s="3">
        <v>1</v>
      </c>
      <c r="B36" s="5">
        <v>45748</v>
      </c>
      <c r="C36" s="11">
        <v>1439</v>
      </c>
    </row>
    <row r="37" spans="1:21" ht="15" thickBot="1" x14ac:dyDescent="0.35">
      <c r="A37" s="3">
        <v>2</v>
      </c>
      <c r="B37" s="5">
        <v>45778</v>
      </c>
      <c r="C37" s="12">
        <v>1401</v>
      </c>
    </row>
    <row r="38" spans="1:21" ht="15" thickBot="1" x14ac:dyDescent="0.35">
      <c r="A38" s="3">
        <v>3</v>
      </c>
      <c r="B38" s="5">
        <v>45809</v>
      </c>
      <c r="C38" s="11">
        <v>1363</v>
      </c>
    </row>
    <row r="39" spans="1:21" ht="15" thickBot="1" x14ac:dyDescent="0.35">
      <c r="A39" s="3">
        <v>4</v>
      </c>
      <c r="B39" s="5">
        <v>45839</v>
      </c>
      <c r="C39" s="12">
        <v>1445</v>
      </c>
    </row>
    <row r="40" spans="1:21" ht="15" thickBot="1" x14ac:dyDescent="0.35">
      <c r="A40" s="3">
        <v>5</v>
      </c>
      <c r="B40" s="5">
        <v>45870</v>
      </c>
      <c r="C40" s="11">
        <v>1467</v>
      </c>
    </row>
    <row r="41" spans="1:21" ht="15" thickBot="1" x14ac:dyDescent="0.35">
      <c r="A41" s="3">
        <v>6</v>
      </c>
      <c r="B41" s="5">
        <v>45901</v>
      </c>
      <c r="C41" s="12">
        <v>1363</v>
      </c>
      <c r="P41" s="13"/>
      <c r="U41" s="14"/>
    </row>
    <row r="42" spans="1:21" ht="15" thickBot="1" x14ac:dyDescent="0.35">
      <c r="A42" s="3">
        <v>7</v>
      </c>
      <c r="B42" s="5">
        <v>45931</v>
      </c>
      <c r="C42" s="11">
        <v>1483</v>
      </c>
      <c r="P42" s="15"/>
      <c r="U42" s="16"/>
    </row>
    <row r="43" spans="1:21" ht="15" thickBot="1" x14ac:dyDescent="0.35">
      <c r="A43" s="3">
        <v>8</v>
      </c>
      <c r="B43" s="5">
        <v>45962</v>
      </c>
      <c r="C43" s="12">
        <v>1589</v>
      </c>
      <c r="U43" s="14"/>
    </row>
    <row r="44" spans="1:21" ht="15" thickBot="1" x14ac:dyDescent="0.35">
      <c r="A44" s="3">
        <v>9</v>
      </c>
      <c r="B44" s="5">
        <v>45992</v>
      </c>
      <c r="C44" s="11">
        <v>1569</v>
      </c>
    </row>
    <row r="45" spans="1:21" ht="15" thickBot="1" x14ac:dyDescent="0.35">
      <c r="A45" s="3">
        <v>10</v>
      </c>
      <c r="B45" s="5">
        <v>46023</v>
      </c>
      <c r="C45" s="12">
        <v>1510</v>
      </c>
    </row>
    <row r="46" spans="1:21" ht="15" thickBot="1" x14ac:dyDescent="0.35">
      <c r="A46" s="3">
        <v>11</v>
      </c>
      <c r="B46" s="5">
        <v>46054</v>
      </c>
      <c r="C46" s="11">
        <v>1574</v>
      </c>
    </row>
    <row r="47" spans="1:21" ht="15" thickBot="1" x14ac:dyDescent="0.35">
      <c r="A47" s="3">
        <v>12</v>
      </c>
      <c r="B47" s="5">
        <v>46082</v>
      </c>
      <c r="C47" s="12">
        <v>1553</v>
      </c>
    </row>
    <row r="48" spans="1:21" x14ac:dyDescent="0.3">
      <c r="O48" t="s">
        <v>14</v>
      </c>
      <c r="P48" t="s">
        <v>12</v>
      </c>
    </row>
    <row r="49" spans="1:23" ht="37.200000000000003" customHeight="1" thickBot="1" x14ac:dyDescent="0.35">
      <c r="A49" s="19" t="s">
        <v>13</v>
      </c>
      <c r="B49" s="20" t="s">
        <v>1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O49">
        <v>0</v>
      </c>
      <c r="P49" s="9">
        <v>1439</v>
      </c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19"/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</v>
      </c>
      <c r="P50" s="10">
        <v>0</v>
      </c>
    </row>
    <row r="51" spans="1:23" ht="15" thickBot="1" x14ac:dyDescent="0.35">
      <c r="A51" s="2">
        <v>1</v>
      </c>
      <c r="B51" s="4">
        <f>$B$67+$B$65*$C36+$B$68*$C36</f>
        <v>1397383.7109292501</v>
      </c>
      <c r="C51" s="3">
        <f>B67+B65*(C36+C37)+B68*(C36+3*C37)</f>
        <v>2780992.8909314997</v>
      </c>
      <c r="D51" s="3">
        <f>B67+B65*(C36+C37+C38)+B68*(C36+3*C37+5*C38)</f>
        <v>4150027.6466927496</v>
      </c>
      <c r="E51" s="3">
        <f>$B67+$B$65*($C36+$C37+$C38+$C39)+$B$68*($C36+3*$C37+5*$C38+7*$C39)</f>
        <v>5625760.275529</v>
      </c>
      <c r="F51" s="3">
        <f>$B67+$B$65*($C36+$C37+$C38+$C39+$C40)+$B$68*($C36+3*$C37+5*$C38+7*$C39+9*$C40)</f>
        <v>7148666.1150812497</v>
      </c>
      <c r="G51" s="3">
        <f>$B67+$B$65*($C36+$C37+$C38+$C39+$C40+$C41)+$B$68*($C36+3*$C37+5*$C38+7*$C39+9*$C40+11*$C41)</f>
        <v>8586562.4992759991</v>
      </c>
      <c r="H51" s="3">
        <f>$B67+$B$65*($C36+$C37+$C38+$C39+$C40+$C41+$C42)+$B$68*($C36+3*$C37+5*$C38+7*$C39+9*$C40+11*$C41+13*$C42)</f>
        <v>10176027.60278525</v>
      </c>
      <c r="I51" s="3">
        <f>$B67+$B$65*($C36+$C37+$C38+$C39+$C40+$C41+$C42+$C43)+$B$68*($C36+3*$C37+5*$C38+7*$C39+9*$C40+11*$C41+13*$C42+15*$C43)</f>
        <v>11905862.359111501</v>
      </c>
      <c r="J51" s="3">
        <f>$B67+$B$65*($C36+$C37+$C38+$C39+$C40+$C41+$C42+$C43+$C44)+$B$68*($C36+3*$C37+5*$C38+7*$C39+9*$C40+11*$C41+13*$C42+15*$C43+17*$C44)</f>
        <v>13640347.554866251</v>
      </c>
      <c r="K51" s="3">
        <f>$B67+$B$65*($C36+$C37+$C38+$C39+$C40+$C41+$C42+$C43+$C44+$C45)+$B$68*($C36+3*$C37+5*$C38+7*$C39+9*$C40+11*$C41+13*$C42+15*$C43+17*$C44+19*$C45)</f>
        <v>15335039.375883751</v>
      </c>
      <c r="L51" s="3">
        <f>$B67+$B$65*($C36+$C37+$C38+$C39+$C40+$C41+$C42+$C43+$C44+$C45+$C46)+$B$68*($C36+3*$C37+5*$C38+7*$C39+9*$C40+11*$C41+13*$C42+15*$C43+17*$C44+19*$C45+21*$C46)</f>
        <v>17128066.45877425</v>
      </c>
      <c r="M51" s="3">
        <f>$B67+$B$65*($C36+$C37+$C38+$C39+$C40+$C41+$C42+$C43+$C44+$C45+$C46+$C47)+$B$68*($C36+3*$C37+5*$C38+7*$C39+9*$C40+11*$C41+13*$C42+15*$C43+17*$C44+19*$C45+21*$C46+23*$C47)</f>
        <v>18923324.934613496</v>
      </c>
      <c r="O51">
        <v>1</v>
      </c>
      <c r="P51" s="9">
        <v>1401</v>
      </c>
    </row>
    <row r="52" spans="1:23" ht="15" thickBot="1" x14ac:dyDescent="0.35">
      <c r="A52" s="2">
        <v>2</v>
      </c>
      <c r="B52" s="3"/>
      <c r="C52" s="6">
        <f>$B$51+$B$67+$B$65*$C37+$B$68*$C37</f>
        <v>2757879.06813</v>
      </c>
      <c r="D52" s="3">
        <f>$B$51+$B$67+$B$65*($C37+$C38)+$B$68*($C37+3*$C38)</f>
        <v>4103959.94774675</v>
      </c>
      <c r="E52" s="3">
        <f>$B$51+$B$67+$B$65*($C37+$C38+$C39)+$B$68*($C37+3*$C38+5*$C39)</f>
        <v>5555357.7629155004</v>
      </c>
      <c r="F52" s="3">
        <f>$B$51+$B$67+$B$65*($C37+$C38+$C39+$C40)+$B$68*($C37+3*$C38+5*$C39+7*$C40)</f>
        <v>7053558.2933672499</v>
      </c>
      <c r="G52" s="3">
        <f>$B$51+$B$67+$B$65*($C37+$C38+$C39+$C40+$C41)+$B$68*($C37+3*$C38+5*$C39+7*$C40+9*$C41)</f>
        <v>8468500.8014174998</v>
      </c>
      <c r="H52" s="3">
        <f>$B$51+$B$67+$B$65*($C37+$C38+$C39+$C40+$C41+$C42)+$B$68*($C37+3*$C38+5*$C39+7*$C40+9*$C41+11*$C42)</f>
        <v>10032991.14460225</v>
      </c>
      <c r="I52" s="3">
        <f>$B$51+$B$67+$B$65*($C37+$C38+$C39+$C40+$C41+$C42+$C43)+$B$68*($C37+3*$C38+5*$C39+7*$C40+9*$C41+11*$C42+13*$C43)</f>
        <v>11736066.026245</v>
      </c>
      <c r="J52" s="3">
        <f>$B$51+$B$67+$B$65*($C37+$C38+$C39+$C40+$C41+$C42+$C43+$C44)+$B$68*($C37+3*$C38+5*$C39+7*$C40+9*$C41+11*$C42+13*$C43+15*$C44)</f>
        <v>13444128.161346249</v>
      </c>
      <c r="K52" s="3">
        <f>$B$51+$B$67+$B$65*($C37+$C38+$C39+$C40+$C41+$C42+$C43+$C44+$C45)+$B$68*($C37+3*$C38+5*$C39+7*$C40+9*$C41+11*$C42+13*$C43+15*$C44+17*$C45)</f>
        <v>15113390.52309875</v>
      </c>
      <c r="L52" s="3">
        <f>$B$51+$B$67+$B$65*($C37+$C38+$C39+$C40+$C41+$C42+$C43+$C44+$C45+$C46)+$B$68*($C37+3*$C38+5*$C39+7*$C40+9*$C41+11*$C42+13*$C43+15*$C44+17*$C45+19*$C46)</f>
        <v>16879910.341828249</v>
      </c>
      <c r="M52" s="3">
        <f>$B$51+$B$67+$B$65*($C37+$C38+$C39+$C40+$C41+$C42+$C43+$C44+$C45+$C46+C47)+$B$68*($C37+3*$C38+5*$C39+7*$C40+9*$C41+11*$C42+13*$C43+15*$C44+17*$C45+19*$C46+21*C47)</f>
        <v>18649015.208237998</v>
      </c>
      <c r="O52">
        <v>2</v>
      </c>
      <c r="P52" s="10">
        <v>0</v>
      </c>
    </row>
    <row r="53" spans="1:23" ht="15" thickBot="1" x14ac:dyDescent="0.35">
      <c r="A53" s="2">
        <v>3</v>
      </c>
      <c r="B53" s="3"/>
      <c r="C53" s="3"/>
      <c r="D53" s="6">
        <f>$C$52+$B$67+$B$65*($C38)+$B$68*($C38)</f>
        <v>4081486.0716022504</v>
      </c>
      <c r="E53" s="3">
        <f>$C$52+$B$67+$B$65*($C38+$C39)+$B$68*($C38+3*$C39)</f>
        <v>5508549.0731034996</v>
      </c>
      <c r="F53" s="3">
        <f>$C$52+$B$67+$B$65*($C38+$C39+$C40)+$B$68*($C38+3*$C39+5*$C40)</f>
        <v>6982044.2944547497</v>
      </c>
      <c r="G53" s="3">
        <f>$C$52+$B$67+$B$65*($C38+$C39+$C40+$C41)+$B$68*($C38+3*$C39+5*$C40+7*$C41)</f>
        <v>8374032.9263605</v>
      </c>
      <c r="H53" s="3">
        <f>$C$52+$B$67+$B$65*($C38+$C39+$C40+$C41+$C42)+$B$68*($C38+3*$C39+5*$C40+7*$C41+9*$C42)</f>
        <v>9913548.5092207491</v>
      </c>
      <c r="I53" s="3">
        <f>$C$52+$B$67+$B$65*($C38+$C39+$C40+$C41+$C42+$C43)+$B$68*($C38+3*$C39+5*$C40+7*$C41+9*$C42+11*$C43)</f>
        <v>11589863.516179999</v>
      </c>
      <c r="J53" s="3">
        <f>$C$52+$B$67+$B$65*($C38+$C39+$C40+$C41+$C42+$C43+$C44)+$B$68*($C38+3*$C39+5*$C40+7*$C41+9*$C42+11*$C43+13*$C44)</f>
        <v>13271502.590627749</v>
      </c>
      <c r="K53" s="3">
        <f>$C$52+$B$67+$B$65*($C38+$C39+$C40+$C41+$C42+$C43+$C44+$C45)+$B$68*($C38+3*$C39+5*$C40+7*$C41+9*$C42+11*$C43+13*$C44+15*$C45)</f>
        <v>14915335.49311525</v>
      </c>
      <c r="L53" s="3">
        <f>$C$52+$B$67+$B$65*($C38+$C39+$C40+$C41+$C42+$C43+$C44+$C45+$C46)+$B$68*($C38+3*$C39+5*$C40+7*$C41+9*$C42+11*$C43+13*$C44+15*$C45+17*$C46)</f>
        <v>16655348.047683749</v>
      </c>
      <c r="M53" s="3">
        <f>$C$52+$B$67+$B$65*($C38+$C39+$C40+$C41+$C42+$C43+$C44+$C45+$C46+$C47)+$B$68*($C38+3*$C39+5*$C40+7*$C41+9*$C42+11*$C43+13*$C44+15*$C45+17*$C46+19*C47)</f>
        <v>18398299.304664001</v>
      </c>
      <c r="O53">
        <v>2</v>
      </c>
      <c r="P53" s="9">
        <v>1363</v>
      </c>
    </row>
    <row r="54" spans="1:23" ht="15" thickBot="1" x14ac:dyDescent="0.35">
      <c r="A54" s="2">
        <v>4</v>
      </c>
      <c r="B54" s="3"/>
      <c r="C54" s="3"/>
      <c r="D54" s="3"/>
      <c r="E54" s="6">
        <f>$D$53+$B$67+$B$65*($C39)+$B$68*($C39)</f>
        <v>5484694.2594360011</v>
      </c>
      <c r="F54" s="3">
        <f>$D$53+$B$67+$B$65*($C39+$C40)+$B$68*($C39+3*$C40)</f>
        <v>6933484.1716867508</v>
      </c>
      <c r="G54" s="3">
        <f>$D$53+$B$67+$B$65*($C39+$C40+$C41)+$B$68*($C39+3*$C40+5*$C41)</f>
        <v>8302518.9274480008</v>
      </c>
      <c r="H54" s="3">
        <f>$D$53+$B$67+$B$65*($C39+$C40+$C41+$C42)+$B$68*($C39+3*$C40+5*$C41+7*$C42)</f>
        <v>9817059.7499837503</v>
      </c>
      <c r="I54" s="3">
        <f>$D$53+$B$67+$B$65*($C39+$C40+$C41+$C42+$C43)+$B$68*($C39+3*$C40+5*$C41+7*$C42+9*$C43)</f>
        <v>11466614.882259499</v>
      </c>
      <c r="J54" s="3">
        <f>$D$53+$B$67+$B$65*($C39+$C40+$C41+$C42+$C43+$C44)+$B$68*($C39+3*$C40+5*$C41+7*$C42+9*$C43+11*$C44)</f>
        <v>13121830.896053748</v>
      </c>
      <c r="K54" s="3">
        <f>$D$53+$B$67+$B$65*($C39+$C40+$C41+$C42+$C43+$C44+$C45)+$B$68*($C39+3*$C40+5*$C41+7*$C42+9*$C43+11*$C44+13*$C45)</f>
        <v>14740234.339276249</v>
      </c>
      <c r="L54" s="3">
        <f>$D$53+$B$67+$B$65*($C39+$C40+$C41+$C42+$C43+$C44+$C45+$C46)+$B$68*($C39+3*$C40+5*$C41+7*$C42+9*$C43+11*$C44+13*$C45+15*$C46)</f>
        <v>16453739.62968375</v>
      </c>
      <c r="M54" s="3">
        <f>$D$53+$B$67+$B$65*($C39+$C40+$C41+$C42+$C43+$C44+$C45+$C46+C47)+$B$68*($C39+3*$C40+5*$C41+7*$C42+9*$C43+11*$C44+13*$C45+15*$C46+17*C47)</f>
        <v>18170537.277234498</v>
      </c>
      <c r="O54">
        <v>3</v>
      </c>
      <c r="P54" s="10">
        <v>0</v>
      </c>
    </row>
    <row r="55" spans="1:23" ht="15" thickBot="1" x14ac:dyDescent="0.35">
      <c r="A55" s="2">
        <v>5</v>
      </c>
      <c r="B55" s="3"/>
      <c r="C55" s="3"/>
      <c r="D55" s="3"/>
      <c r="E55" s="3"/>
      <c r="F55" s="6">
        <f>$E$54+$B$67+$B$65*($C40)+$B$68*($C40)</f>
        <v>6909258.8625862505</v>
      </c>
      <c r="G55" s="3">
        <f>$E$54+$B$67+$B$65*($C40+$C41)+$B$68*($C40+3*$C41)</f>
        <v>8255339.7422030009</v>
      </c>
      <c r="H55" s="3">
        <f>$E$54+$B$67+$B$65*($C40+$C41+$C42)+$B$68*($C40+3*$C41+5*$C42)</f>
        <v>9744905.80441425</v>
      </c>
      <c r="I55" s="3">
        <f>$E$54+$B$67+$B$65*($C40+$C41+$C42+$C43)+$B$68*($C40+3*$C41+5*$C42+7*$C43)</f>
        <v>11367701.062006501</v>
      </c>
      <c r="J55" s="3">
        <f>$E$54+$B$67+$B$65*($C40+$C41+$C42+$C43+$C44)+$B$68*($C40+3*$C41+5*$C42+7*$C43+9*$C44)</f>
        <v>12996494.015147252</v>
      </c>
      <c r="K55" s="3">
        <f>$E$54+$B$67+$B$65*($C40+$C41+$C42+$C43+$C44+$C45)+$B$68*($C40+3*$C41+5*$C42+7*$C43+9*$C44+11*$C45)</f>
        <v>14589467.999104751</v>
      </c>
      <c r="L55" s="3">
        <f>$E$54+$B$67+$B$65*($C40+$C41+$C42+$C43+$C44+$C45+$C46)+$B$68*($C40+3*$C41+5*$C42+7*$C43+9*$C44+11*$C45+13*$C46)</f>
        <v>16276466.025351252</v>
      </c>
      <c r="M55" s="3">
        <f>$E$54+$B$67+$B$65*($C40+$C41+$C42+$C43+$C44+$C45+$C46+C47)+$B$68*($C40+3*$C41+5*$C42+7*$C43+9*$C44+11*$C45+13*$C46+15*$C47)</f>
        <v>17967110.063472502</v>
      </c>
      <c r="O55">
        <v>3</v>
      </c>
      <c r="P55" s="9">
        <v>1445</v>
      </c>
    </row>
    <row r="56" spans="1:23" ht="15" thickBot="1" x14ac:dyDescent="0.35">
      <c r="A56" s="2">
        <v>6</v>
      </c>
      <c r="B56" s="3"/>
      <c r="C56" s="3"/>
      <c r="D56" s="3"/>
      <c r="E56" s="3"/>
      <c r="F56" s="3"/>
      <c r="G56" s="6">
        <f>$F$55+$B$67+$B$65*$C41+$B$68*$C41</f>
        <v>8232865.8660585005</v>
      </c>
      <c r="H56" s="3">
        <f>$F$55+$B$67+$B$65*($C41+$C42)+$B$68*($C41+3*$C42)</f>
        <v>9697457.1679452509</v>
      </c>
      <c r="I56" s="3">
        <f>$F$55+$B$67+$B$65*($C41+$C42+$C43)+$B$68*($C41+3*$C42+5*$C43)</f>
        <v>11293492.550853999</v>
      </c>
      <c r="J56" s="3">
        <f>$F$55+$B$67+$B$65*($C41+$C42+$C43+$C44)+$B$68*($C41+3*$C42+5*$C43+7*$C44)</f>
        <v>12895862.44334125</v>
      </c>
      <c r="K56" s="3">
        <f>$F$55+$B$67+$B$65*($C41+$C42+$C43+$C44+$C45)+$B$68*($C41+3*$C42+5*$C43+7*$C44+9*$C45)</f>
        <v>14463406.96803375</v>
      </c>
      <c r="L56" s="3">
        <f>$F$55+$B$67+$B$65*($C41+$C42+$C43+$C44+$C45+$C46)+$B$68*($C41+3*$C42+5*$C43+7*$C44+9*$C45+11*$C46)</f>
        <v>16123897.730119251</v>
      </c>
      <c r="M56" s="3">
        <f>$F$55+$B$67+$B$65*($C41+$C42+$C43+$C44+$C45+$C46+C47)+$B$68*($C41+3*$C42+5*$C43+7*$C44+9*$C45+11*$C46+13*C47)</f>
        <v>17788388.158810999</v>
      </c>
      <c r="O56">
        <v>4</v>
      </c>
      <c r="P56" s="10">
        <v>0</v>
      </c>
    </row>
    <row r="57" spans="1:23" ht="15" thickBot="1" x14ac:dyDescent="0.35">
      <c r="A57" s="2">
        <v>7</v>
      </c>
      <c r="B57" s="3"/>
      <c r="C57" s="3"/>
      <c r="D57" s="3"/>
      <c r="E57" s="3"/>
      <c r="F57" s="3"/>
      <c r="G57" s="3"/>
      <c r="H57" s="6">
        <f>$G$56+$B$67+$B$65*($C42)+$B$68*($C42)</f>
        <v>9672962.4076207504</v>
      </c>
      <c r="I57" s="3">
        <f>$G$56+$B$67+$B$65*($C42+$C43)+$B$68*($C42+3*$C43)</f>
        <v>11242237.915845999</v>
      </c>
      <c r="J57" s="3">
        <f>$G$56+$B$67+$B$65*($C42+$C43+$C44)+$B$68*($C42+3*$C43+5*$C44)</f>
        <v>12818184.747679751</v>
      </c>
      <c r="K57" s="3">
        <f>$G$56+$B$67+$B$65*($C42+$C43+$C44+$C45)+$B$68*($C42+3*$C43+5*$C44+7*$C45)</f>
        <v>14360299.81310725</v>
      </c>
      <c r="L57" s="3">
        <f>$G$56+$B$67+$B$65*($C42+$C43+$C44+$C45+$C46)+$B$68*($C42+3*$C43+5*$C44+7*$C45+9*$C46)</f>
        <v>15994283.311031749</v>
      </c>
      <c r="M57" s="3">
        <f>$G$56+$B$67+$B$65*($C42+$C43+$C44+$C45+$C46+$C47)+$B$68*($C42+3*$C43+5*$C44+7*$C45+9*$C46+11*$C47)</f>
        <v>17632620.130293999</v>
      </c>
      <c r="O57">
        <v>4</v>
      </c>
      <c r="P57" s="9">
        <v>1467</v>
      </c>
    </row>
    <row r="58" spans="1:23" ht="15" thickBot="1" x14ac:dyDescent="0.35">
      <c r="A58" s="2">
        <v>8</v>
      </c>
      <c r="B58" s="3"/>
      <c r="C58" s="3"/>
      <c r="D58" s="3"/>
      <c r="E58" s="3"/>
      <c r="F58" s="3"/>
      <c r="G58" s="3"/>
      <c r="H58" s="3"/>
      <c r="I58" s="6">
        <f>$H$57+$B$67+$B$65*($C43)+$B$68*($C43)</f>
        <v>11215958.0411625</v>
      </c>
      <c r="J58" s="3">
        <f>$H$57+$B$67+$B$65*($C43+$C44)+$B$68*($C43+3*$C44)</f>
        <v>12765481.81234275</v>
      </c>
      <c r="K58" s="3">
        <f>$H$57+$B$67+$B$65*($C43+$C44+$C45)+$B$68*($C43+3*$C44+5*$C45)</f>
        <v>14282167.41850525</v>
      </c>
      <c r="L58" s="3">
        <f>$H$57+$B$67+$B$65*($C43+$C44+$C45+$C46)+$B$68*($C43+3*$C44+5*$C45+7*$C46)</f>
        <v>15889643.652268751</v>
      </c>
      <c r="M58" s="3">
        <f>$H$57+$B$67+$B$65*($C43+$C44+$C45+$C46+$C47)+$B$68*($C43+3*$C44+5*$C45+7*$C46+9*$C47)</f>
        <v>17501826.862101503</v>
      </c>
      <c r="O58">
        <v>5</v>
      </c>
      <c r="P58" s="10">
        <v>0</v>
      </c>
    </row>
    <row r="59" spans="1:23" ht="15" thickBot="1" x14ac:dyDescent="0.35">
      <c r="A59" s="2">
        <v>9</v>
      </c>
      <c r="B59" s="3"/>
      <c r="C59" s="3"/>
      <c r="D59" s="3"/>
      <c r="E59" s="3"/>
      <c r="F59" s="3"/>
      <c r="G59" s="3"/>
      <c r="H59" s="3"/>
      <c r="I59" s="3"/>
      <c r="J59" s="6">
        <f>$I$58+$B$67+$B$65*($C44)+$B$68*($C44)</f>
        <v>12739538.75168925</v>
      </c>
      <c r="K59" s="3">
        <f>$I$58+$B$67+$B$65*($C44+3*$C45)+$B$68*($C44+3*$C45)</f>
        <v>17137018.814586751</v>
      </c>
      <c r="L59" s="3">
        <f>$I$58+$B$67+$B$65*($C44+3*$C45+$C46)+$B$68*($C44+3*$C45+5*$C46)</f>
        <v>18717987.78418925</v>
      </c>
      <c r="M59" s="3">
        <f>$I$58+$B$67+$B$65*($C44+3*$C45+$C46+C47)+$B$68*($C44+3*$C45+5*$C46+7*C47)</f>
        <v>20304017.3845925</v>
      </c>
      <c r="O59">
        <v>5</v>
      </c>
      <c r="P59" s="9">
        <v>1363</v>
      </c>
    </row>
    <row r="60" spans="1:23" ht="15" thickBot="1" x14ac:dyDescent="0.35">
      <c r="A60" s="2">
        <v>10</v>
      </c>
      <c r="B60" s="3"/>
      <c r="C60" s="3"/>
      <c r="D60" s="3"/>
      <c r="E60" s="3"/>
      <c r="F60" s="3"/>
      <c r="G60" s="3"/>
      <c r="H60" s="3"/>
      <c r="I60" s="3"/>
      <c r="J60" s="3"/>
      <c r="K60" s="6">
        <f>$J$59+$B$67+$B$65*($C45)+$B$68*($C45)</f>
        <v>14205845.439321751</v>
      </c>
      <c r="L60" s="3">
        <f>$J$59+$B$67+$B$65*($C45+$C46)+$B$68*($C45+3*$C46)</f>
        <v>15760307.144763248</v>
      </c>
      <c r="M60" s="3">
        <f>$J$59+$B$67+$B$65*($C45+$C46+C47)+$B$68*($C45+3*$C46+5*C47)</f>
        <v>17320183.135736998</v>
      </c>
      <c r="O60">
        <v>6</v>
      </c>
      <c r="P60" s="10">
        <v>0</v>
      </c>
    </row>
    <row r="61" spans="1:23" x14ac:dyDescent="0.3">
      <c r="A61" s="2">
        <v>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6">
        <f>$K$60+$B$67+$B$65*($C46)+$B$68*($C46)</f>
        <v>15734279.88060225</v>
      </c>
      <c r="M61" s="3">
        <f>$K$60+$B$67+$B$65*($C46+C47)+$B$68*($C46+3*C47)</f>
        <v>17268002.262146503</v>
      </c>
      <c r="O61">
        <v>6</v>
      </c>
      <c r="P61" s="18">
        <v>1483</v>
      </c>
    </row>
    <row r="62" spans="1:23" x14ac:dyDescent="0.3">
      <c r="A62" s="2">
        <v>12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6">
        <f>$L$61+$B$67+$B$65*($C47)+$B$68*($C47)</f>
        <v>17242328.652717002</v>
      </c>
      <c r="O62">
        <v>7</v>
      </c>
      <c r="P62">
        <v>0</v>
      </c>
    </row>
    <row r="63" spans="1:23" x14ac:dyDescent="0.3">
      <c r="A63" s="3" t="s">
        <v>10</v>
      </c>
      <c r="B63" s="7">
        <f t="shared" ref="B63:M63" si="0">MIN(B$51:B$62)</f>
        <v>1397383.7109292501</v>
      </c>
      <c r="C63" s="7">
        <f t="shared" si="0"/>
        <v>2757879.06813</v>
      </c>
      <c r="D63" s="7">
        <f t="shared" si="0"/>
        <v>4081486.0716022504</v>
      </c>
      <c r="E63" s="7">
        <f t="shared" si="0"/>
        <v>5484694.2594360011</v>
      </c>
      <c r="F63" s="7">
        <f t="shared" si="0"/>
        <v>6909258.8625862505</v>
      </c>
      <c r="G63" s="7">
        <f t="shared" si="0"/>
        <v>8232865.8660585005</v>
      </c>
      <c r="H63" s="7">
        <f t="shared" si="0"/>
        <v>9672962.4076207504</v>
      </c>
      <c r="I63" s="7">
        <f t="shared" si="0"/>
        <v>11215958.0411625</v>
      </c>
      <c r="J63" s="7">
        <f t="shared" si="0"/>
        <v>12739538.75168925</v>
      </c>
      <c r="K63" s="7">
        <f t="shared" si="0"/>
        <v>14205845.439321751</v>
      </c>
      <c r="L63" s="7">
        <f t="shared" si="0"/>
        <v>15734279.88060225</v>
      </c>
      <c r="M63" s="7">
        <f t="shared" si="0"/>
        <v>17242328.652717002</v>
      </c>
      <c r="O63">
        <v>7</v>
      </c>
      <c r="P63">
        <v>1589</v>
      </c>
    </row>
    <row r="64" spans="1:23" x14ac:dyDescent="0.3">
      <c r="A64" s="3" t="s">
        <v>11</v>
      </c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3">
        <v>6</v>
      </c>
      <c r="H64" s="3">
        <v>7</v>
      </c>
      <c r="I64" s="3">
        <v>8</v>
      </c>
      <c r="J64" s="3">
        <v>9</v>
      </c>
      <c r="K64" s="3">
        <v>10</v>
      </c>
      <c r="L64" s="3">
        <v>11</v>
      </c>
      <c r="M64" s="3">
        <v>12</v>
      </c>
      <c r="O64">
        <v>8</v>
      </c>
      <c r="P64">
        <v>0</v>
      </c>
    </row>
    <row r="65" spans="1:27" x14ac:dyDescent="0.3">
      <c r="A65" s="3" t="s">
        <v>5</v>
      </c>
      <c r="B65">
        <v>962.32579999999996</v>
      </c>
      <c r="O65">
        <v>8</v>
      </c>
      <c r="P65">
        <v>1569</v>
      </c>
      <c r="X65" s="1"/>
      <c r="Y65" s="1"/>
      <c r="Z65" s="1"/>
      <c r="AA65" s="1"/>
    </row>
    <row r="66" spans="1:27" x14ac:dyDescent="0.3">
      <c r="A66" s="3" t="s">
        <v>6</v>
      </c>
      <c r="B66">
        <v>1.7500000000000002E-2</v>
      </c>
      <c r="I66" s="1" t="s">
        <v>7</v>
      </c>
      <c r="J66" s="1"/>
      <c r="K66" s="1"/>
      <c r="L66" s="1"/>
      <c r="M66" s="17">
        <f>M62</f>
        <v>17242328.652717002</v>
      </c>
      <c r="O66">
        <v>9</v>
      </c>
      <c r="P66">
        <v>0</v>
      </c>
    </row>
    <row r="67" spans="1:27" x14ac:dyDescent="0.3">
      <c r="A67" s="3" t="s">
        <v>9</v>
      </c>
      <c r="B67">
        <v>480</v>
      </c>
      <c r="O67">
        <v>9</v>
      </c>
      <c r="P67">
        <v>1510</v>
      </c>
    </row>
    <row r="68" spans="1:27" x14ac:dyDescent="0.3">
      <c r="A68" s="3" t="s">
        <v>8</v>
      </c>
      <c r="B68">
        <f>B65*B66 /2</f>
        <v>8.4203507500000008</v>
      </c>
      <c r="O68">
        <v>10</v>
      </c>
      <c r="P68">
        <v>0</v>
      </c>
    </row>
    <row r="69" spans="1:27" x14ac:dyDescent="0.3">
      <c r="O69">
        <v>10</v>
      </c>
      <c r="P69">
        <v>1574</v>
      </c>
    </row>
    <row r="70" spans="1:27" x14ac:dyDescent="0.3">
      <c r="O70">
        <v>11</v>
      </c>
      <c r="P70">
        <v>0</v>
      </c>
    </row>
    <row r="71" spans="1:27" x14ac:dyDescent="0.3">
      <c r="O71">
        <v>11</v>
      </c>
      <c r="P71">
        <v>1553</v>
      </c>
    </row>
    <row r="72" spans="1:27" x14ac:dyDescent="0.3">
      <c r="O72">
        <v>12</v>
      </c>
      <c r="P72">
        <v>0</v>
      </c>
    </row>
  </sheetData>
  <mergeCells count="2">
    <mergeCell ref="A49:A50"/>
    <mergeCell ref="B49:M49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9CD5-BF31-40EC-A801-C59011E6CF85}">
  <sheetPr codeName="Sheet9"/>
  <dimension ref="A18:AA72"/>
  <sheetViews>
    <sheetView topLeftCell="A88" workbookViewId="0">
      <selection activeCell="Q66" sqref="Q66"/>
    </sheetView>
  </sheetViews>
  <sheetFormatPr defaultRowHeight="14.4" x14ac:dyDescent="0.3"/>
  <cols>
    <col min="13" max="13" width="14.77734375" bestFit="1" customWidth="1"/>
    <col min="15" max="15" width="22.77734375" bestFit="1" customWidth="1"/>
    <col min="16" max="20" width="12" bestFit="1" customWidth="1"/>
    <col min="21" max="21" width="15.33203125" bestFit="1" customWidth="1"/>
    <col min="22" max="27" width="12" bestFit="1" customWidth="1"/>
  </cols>
  <sheetData>
    <row r="18" spans="2:3" x14ac:dyDescent="0.3">
      <c r="B18" s="5"/>
      <c r="C18" s="8">
        <v>29192</v>
      </c>
    </row>
    <row r="35" spans="1:21" x14ac:dyDescent="0.3">
      <c r="A35" s="3" t="s">
        <v>2</v>
      </c>
      <c r="B35" s="3" t="s">
        <v>3</v>
      </c>
      <c r="C35" s="3" t="s">
        <v>4</v>
      </c>
    </row>
    <row r="36" spans="1:21" ht="15" thickBot="1" x14ac:dyDescent="0.35">
      <c r="A36" s="3">
        <v>1</v>
      </c>
      <c r="B36" s="5">
        <v>45748</v>
      </c>
      <c r="C36" s="11">
        <v>1573</v>
      </c>
    </row>
    <row r="37" spans="1:21" ht="15" thickBot="1" x14ac:dyDescent="0.35">
      <c r="A37" s="3">
        <v>2</v>
      </c>
      <c r="B37" s="5">
        <v>45778</v>
      </c>
      <c r="C37" s="12">
        <v>1624</v>
      </c>
    </row>
    <row r="38" spans="1:21" ht="15" thickBot="1" x14ac:dyDescent="0.35">
      <c r="A38" s="3">
        <v>3</v>
      </c>
      <c r="B38" s="5">
        <v>45809</v>
      </c>
      <c r="C38" s="11">
        <v>1768</v>
      </c>
    </row>
    <row r="39" spans="1:21" ht="15" thickBot="1" x14ac:dyDescent="0.35">
      <c r="A39" s="3">
        <v>4</v>
      </c>
      <c r="B39" s="5">
        <v>45839</v>
      </c>
      <c r="C39" s="12">
        <v>1919</v>
      </c>
    </row>
    <row r="40" spans="1:21" ht="15" thickBot="1" x14ac:dyDescent="0.35">
      <c r="A40" s="3">
        <v>5</v>
      </c>
      <c r="B40" s="5">
        <v>45870</v>
      </c>
      <c r="C40" s="11">
        <v>1837</v>
      </c>
    </row>
    <row r="41" spans="1:21" ht="15" thickBot="1" x14ac:dyDescent="0.35">
      <c r="A41" s="3">
        <v>6</v>
      </c>
      <c r="B41" s="5">
        <v>45901</v>
      </c>
      <c r="C41" s="12">
        <v>1836</v>
      </c>
      <c r="P41" s="13"/>
      <c r="U41" s="14"/>
    </row>
    <row r="42" spans="1:21" ht="15" thickBot="1" x14ac:dyDescent="0.35">
      <c r="A42" s="3">
        <v>7</v>
      </c>
      <c r="B42" s="5">
        <v>45931</v>
      </c>
      <c r="C42" s="11">
        <v>1760</v>
      </c>
      <c r="P42" s="15"/>
      <c r="U42" s="16"/>
    </row>
    <row r="43" spans="1:21" ht="15" thickBot="1" x14ac:dyDescent="0.35">
      <c r="A43" s="3">
        <v>8</v>
      </c>
      <c r="B43" s="5">
        <v>45962</v>
      </c>
      <c r="C43" s="12">
        <v>1697</v>
      </c>
      <c r="U43" s="14"/>
    </row>
    <row r="44" spans="1:21" ht="15" thickBot="1" x14ac:dyDescent="0.35">
      <c r="A44" s="3">
        <v>9</v>
      </c>
      <c r="B44" s="5">
        <v>45992</v>
      </c>
      <c r="C44" s="11">
        <v>1667</v>
      </c>
    </row>
    <row r="45" spans="1:21" ht="15" thickBot="1" x14ac:dyDescent="0.35">
      <c r="A45" s="3">
        <v>10</v>
      </c>
      <c r="B45" s="5">
        <v>46023</v>
      </c>
      <c r="C45" s="12">
        <v>1600</v>
      </c>
    </row>
    <row r="46" spans="1:21" ht="15" thickBot="1" x14ac:dyDescent="0.35">
      <c r="A46" s="3">
        <v>11</v>
      </c>
      <c r="B46" s="5">
        <v>46054</v>
      </c>
      <c r="C46" s="11">
        <v>1540</v>
      </c>
    </row>
    <row r="47" spans="1:21" ht="15" thickBot="1" x14ac:dyDescent="0.35">
      <c r="A47" s="3">
        <v>12</v>
      </c>
      <c r="B47" s="5">
        <v>46082</v>
      </c>
      <c r="C47" s="12">
        <v>1530</v>
      </c>
    </row>
    <row r="48" spans="1:21" x14ac:dyDescent="0.3">
      <c r="O48" t="s">
        <v>14</v>
      </c>
      <c r="P48" t="s">
        <v>12</v>
      </c>
    </row>
    <row r="49" spans="1:23" ht="37.200000000000003" customHeight="1" thickBot="1" x14ac:dyDescent="0.35">
      <c r="A49" s="19" t="s">
        <v>13</v>
      </c>
      <c r="B49" s="20" t="s">
        <v>1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O49">
        <v>0</v>
      </c>
      <c r="P49" s="9">
        <v>1573</v>
      </c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19"/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</v>
      </c>
      <c r="P50" s="10">
        <v>0</v>
      </c>
    </row>
    <row r="51" spans="1:23" ht="15" thickBot="1" x14ac:dyDescent="0.35">
      <c r="A51" s="2">
        <v>1</v>
      </c>
      <c r="B51" s="4">
        <f>$B$67+$B$65*$C36+$B$68*$C36</f>
        <v>1530628.0194000001</v>
      </c>
      <c r="C51" s="3">
        <f>B67+B65*(C36+C37)+B68*(C36+3*C37)</f>
        <v>3137792.6609999998</v>
      </c>
      <c r="D51" s="3">
        <f>B67+B65*(C36+C37+C38)+B68*(C36+3*C37+5*C38)</f>
        <v>4917300.5729999999</v>
      </c>
      <c r="E51" s="3">
        <f>$B67+$B$65*($C36+$C37+$C38+$C39)+$B$68*($C36+3*$C37+5*$C38+7*$C39)</f>
        <v>6881175.6204000004</v>
      </c>
      <c r="F51" s="3">
        <f>$B67+$B$65*($C36+$C37+$C38+$C39+$C40)+$B$68*($C36+3*$C37+5*$C38+7*$C39+9*$C40)</f>
        <v>8792133.6078000013</v>
      </c>
      <c r="G51" s="3">
        <f>$B67+$B$65*($C36+$C37+$C38+$C39+$C40+$C41)+$B$68*($C36+3*$C37+5*$C38+7*$C39+9*$C40+11*$C41)</f>
        <v>10733034.9366</v>
      </c>
      <c r="H51" s="3">
        <f>$B67+$B$65*($C36+$C37+$C38+$C39+$C40+$C41+$C42)+$B$68*($C36+3*$C37+5*$C38+7*$C39+9*$C40+11*$C41+13*$C42)</f>
        <v>12623295.000600001</v>
      </c>
      <c r="I51" s="3">
        <f>$B67+$B$65*($C36+$C37+$C38+$C39+$C40+$C41+$C42+$C43)+$B$68*($C36+3*$C37+5*$C38+7*$C39+9*$C40+11*$C41+13*$C42+15*$C43)</f>
        <v>14474530.239600001</v>
      </c>
      <c r="J51" s="3">
        <f>$B67+$B$65*($C36+$C37+$C38+$C39+$C40+$C41+$C42+$C43+$C44)+$B$68*($C36+3*$C37+5*$C38+7*$C39+9*$C40+11*$C41+13*$C42+15*$C43+17*$C44)</f>
        <v>16321170.493799999</v>
      </c>
      <c r="K51" s="3">
        <f>$B67+$B$65*($C36+$C37+$C38+$C39+$C40+$C41+$C42+$C43+$C44+$C45)+$B$68*($C36+3*$C37+5*$C38+7*$C39+9*$C40+11*$C41+13*$C42+15*$C43+17*$C44+19*$C45)</f>
        <v>18120591.6138</v>
      </c>
      <c r="L51" s="3">
        <f>$B67+$B$65*($C36+$C37+$C38+$C39+$C40+$C41+$C42+$C43+$C44+$C45+$C46)+$B$68*($C36+3*$C37+5*$C38+7*$C39+9*$C40+11*$C41+13*$C42+15*$C43+17*$C44+19*$C45+21*$C46)</f>
        <v>19878522.865800004</v>
      </c>
      <c r="M51" s="3">
        <f>$B67+$B$65*($C36+$C37+$C38+$C39+$C40+$C41+$C42+$C43+$C44+$C45+$C46+$C47)+$B$68*($C36+3*$C37+5*$C38+7*$C39+9*$C40+11*$C41+13*$C42+15*$C43+17*$C44+19*$C45+21*$C46+23*$C47)</f>
        <v>21650858.647800002</v>
      </c>
      <c r="O51">
        <v>1</v>
      </c>
      <c r="P51" s="9">
        <v>1624</v>
      </c>
    </row>
    <row r="52" spans="1:23" ht="15" thickBot="1" x14ac:dyDescent="0.35">
      <c r="A52" s="2">
        <v>2</v>
      </c>
      <c r="B52" s="3"/>
      <c r="C52" s="6">
        <f>$B$51+$B$67+$B$65*$C37+$B$68*$C37</f>
        <v>3110866.6866000001</v>
      </c>
      <c r="D52" s="3">
        <f>$B$51+$B$67+$B$65*($C37+$C38)+$B$68*($C37+3*$C38)</f>
        <v>4860538.5378</v>
      </c>
      <c r="E52" s="3">
        <f>$B$51+$B$67+$B$65*($C37+$C38+$C39)+$B$68*($C37+3*$C38+5*$C39)</f>
        <v>6792029.3087999998</v>
      </c>
      <c r="F52" s="3">
        <f>$B$51+$B$67+$B$65*($C37+$C38+$C39+$C40)+$B$68*($C37+3*$C38+5*$C39+7*$C40)</f>
        <v>8671986.8190000001</v>
      </c>
      <c r="G52" s="3">
        <f>$B$51+$B$67+$B$65*($C37+$C38+$C39+$C40+$C41)+$B$68*($C37+3*$C38+5*$C39+7*$C40+9*$C41)</f>
        <v>10581904.546200002</v>
      </c>
      <c r="H52" s="3">
        <f>$B$51+$B$67+$B$65*($C37+$C38+$C39+$C40+$C41+$C42)+$B$68*($C37+3*$C38+5*$C39+7*$C40+9*$C41+11*$C42)</f>
        <v>12442463.554200001</v>
      </c>
      <c r="I52" s="3">
        <f>$B$51+$B$67+$B$65*($C37+$C38+$C39+$C40+$C41+$C42+$C43)+$B$68*($C37+3*$C38+5*$C39+7*$C40+9*$C41+11*$C42+13*$C43)</f>
        <v>14265060.900000002</v>
      </c>
      <c r="J52" s="3">
        <f>$B$51+$B$67+$B$65*($C37+$C38+$C39+$C40+$C41+$C42+$C43+$C44)+$B$68*($C37+3*$C38+5*$C39+7*$C40+9*$C41+11*$C42+13*$C43+15*$C44)</f>
        <v>16083569.529000001</v>
      </c>
      <c r="K52" s="3">
        <f>$B$51+$B$67+$B$65*($C37+$C38+$C39+$C40+$C41+$C42+$C43+$C44+$C45)+$B$68*($C37+3*$C38+5*$C39+7*$C40+9*$C41+11*$C42+13*$C43+15*$C44+17*$C45)</f>
        <v>17855989.689000003</v>
      </c>
      <c r="L52" s="3">
        <f>$B$51+$B$67+$B$65*($C37+$C38+$C39+$C40+$C41+$C42+$C43+$C44+$C45+$C46)+$B$68*($C37+3*$C38+5*$C39+7*$C40+9*$C41+11*$C42+13*$C43+15*$C44+17*$C45+19*$C46)</f>
        <v>19587932.517000001</v>
      </c>
      <c r="M52" s="3">
        <f>$B$51+$B$67+$B$65*($C37+$C38+$C39+$C40+$C41+$C42+$C43+$C44+$C45+$C46+C47)+$B$68*($C37+3*$C38+5*$C39+7*$C40+9*$C41+11*$C42+13*$C43+15*$C44+17*$C45+19*$C46+21*C47)</f>
        <v>21334448.631000001</v>
      </c>
      <c r="O52">
        <v>2</v>
      </c>
      <c r="P52" s="10">
        <v>0</v>
      </c>
    </row>
    <row r="53" spans="1:23" ht="15" thickBot="1" x14ac:dyDescent="0.35">
      <c r="A53" s="2">
        <v>3</v>
      </c>
      <c r="B53" s="3"/>
      <c r="C53" s="3"/>
      <c r="D53" s="6">
        <f>$C$52+$B$67+$B$65*($C38)+$B$68*($C38)</f>
        <v>4831182.477</v>
      </c>
      <c r="E53" s="3">
        <f>$C$52+$B$67+$B$65*($C38+$C39)+$B$68*($C38+3*$C39)</f>
        <v>6730288.9716000007</v>
      </c>
      <c r="F53" s="3">
        <f>$C$52+$B$67+$B$65*($C38+$C39+$C40)+$B$68*($C38+3*$C39+5*$C40)</f>
        <v>8579246.0046000015</v>
      </c>
      <c r="G53" s="3">
        <f>$C$52+$B$67+$B$65*($C38+$C39+$C40+$C41)+$B$68*($C38+3*$C39+5*$C40+7*$C41)</f>
        <v>10458180.1302</v>
      </c>
      <c r="H53" s="3">
        <f>$C$52+$B$67+$B$65*($C38+$C39+$C40+$C41+$C42)+$B$68*($C38+3*$C39+5*$C40+7*$C41+9*$C42)</f>
        <v>12289038.0822</v>
      </c>
      <c r="I53" s="3">
        <f>$C$52+$B$67+$B$65*($C38+$C39+$C40+$C41+$C42+$C43)+$B$68*($C38+3*$C39+5*$C40+7*$C41+9*$C42+11*$C43)</f>
        <v>14082997.5348</v>
      </c>
      <c r="J53" s="3">
        <f>$C$52+$B$67+$B$65*($C38+$C39+$C40+$C41+$C42+$C43+$C44)+$B$68*($C38+3*$C39+5*$C40+7*$C41+9*$C42+11*$C43+13*$C44)</f>
        <v>15873374.538600001</v>
      </c>
      <c r="K53" s="3">
        <f>$C$52+$B$67+$B$65*($C38+$C39+$C40+$C41+$C42+$C43+$C44+$C45)+$B$68*($C38+3*$C39+5*$C40+7*$C41+9*$C42+11*$C43+13*$C44+15*$C45)</f>
        <v>17618793.738600001</v>
      </c>
      <c r="L53" s="3">
        <f>$C$52+$B$67+$B$65*($C38+$C39+$C40+$C41+$C42+$C43+$C44+$C45+$C46)+$B$68*($C38+3*$C39+5*$C40+7*$C41+9*$C42+11*$C43+13*$C44+15*$C45+17*$C46)</f>
        <v>19324748.142600004</v>
      </c>
      <c r="M53" s="3">
        <f>$C$52+$B$67+$B$65*($C38+$C39+$C40+$C41+$C42+$C43+$C44+$C45+$C46+$C47)+$B$68*($C38+3*$C39+5*$C40+7*$C41+9*$C42+11*$C43+13*$C44+15*$C45+17*$C46+19*C47)</f>
        <v>21045444.588600002</v>
      </c>
      <c r="O53">
        <v>2</v>
      </c>
      <c r="P53" s="9">
        <v>1768</v>
      </c>
    </row>
    <row r="54" spans="1:23" ht="15" thickBot="1" x14ac:dyDescent="0.35">
      <c r="A54" s="2">
        <v>4</v>
      </c>
      <c r="B54" s="3"/>
      <c r="C54" s="3"/>
      <c r="D54" s="3"/>
      <c r="E54" s="6">
        <f>$D$53+$B$67+$B$65*($C39)+$B$68*($C39)</f>
        <v>6698384.6952</v>
      </c>
      <c r="F54" s="3">
        <f>$D$53+$B$67+$B$65*($C39+$C40)+$B$68*($C39+3*$C40)</f>
        <v>8516341.2510000002</v>
      </c>
      <c r="G54" s="3">
        <f>$D$53+$B$67+$B$65*($C39+$C40+$C41)+$B$68*($C39+3*$C40+5*$C41)</f>
        <v>10364291.774999999</v>
      </c>
      <c r="H54" s="3">
        <f>$D$53+$B$67+$B$65*($C39+$C40+$C41+$C42)+$B$68*($C39+3*$C40+5*$C41+7*$C42)</f>
        <v>12165448.671</v>
      </c>
      <c r="I54" s="3">
        <f>$D$53+$B$67+$B$65*($C39+$C40+$C41+$C42+$C43)+$B$68*($C39+3*$C40+5*$C41+7*$C42+9*$C43)</f>
        <v>13930770.2304</v>
      </c>
      <c r="J54" s="3">
        <f>$D$53+$B$67+$B$65*($C39+$C40+$C41+$C42+$C43+$C44)+$B$68*($C39+3*$C40+5*$C41+7*$C42+9*$C43+11*$C44)</f>
        <v>15693015.609000001</v>
      </c>
      <c r="K54" s="3">
        <f>$D$53+$B$67+$B$65*($C39+$C40+$C41+$C42+$C43+$C44+$C45)+$B$68*($C39+3*$C40+5*$C41+7*$C42+9*$C43+11*$C44+13*$C45)</f>
        <v>17411433.848999999</v>
      </c>
      <c r="L54" s="3">
        <f>$D$53+$B$67+$B$65*($C39+$C40+$C41+$C42+$C43+$C44+$C45+$C46)+$B$68*($C39+3*$C40+5*$C41+7*$C42+9*$C43+11*$C44+13*$C45+15*$C46)</f>
        <v>19091399.829</v>
      </c>
      <c r="M54" s="3">
        <f>$D$53+$B$67+$B$65*($C39+$C40+$C41+$C42+$C43+$C44+$C45+$C46+C47)+$B$68*($C39+3*$C40+5*$C41+7*$C42+9*$C43+11*$C44+13*$C45+15*$C46+17*C47)</f>
        <v>20786276.607000001</v>
      </c>
      <c r="O54">
        <v>3</v>
      </c>
      <c r="P54" s="10">
        <v>0</v>
      </c>
    </row>
    <row r="55" spans="1:23" ht="15" thickBot="1" x14ac:dyDescent="0.35">
      <c r="A55" s="2">
        <v>5</v>
      </c>
      <c r="B55" s="3"/>
      <c r="C55" s="3"/>
      <c r="D55" s="3"/>
      <c r="E55" s="3"/>
      <c r="F55" s="6">
        <f>$E$54+$B$67+$B$65*($C40)+$B$68*($C40)</f>
        <v>8485820.7738000005</v>
      </c>
      <c r="G55" s="3">
        <f>$E$54+$B$67+$B$65*($C40+$C41)+$B$68*($C40+3*$C41)</f>
        <v>10302787.6962</v>
      </c>
      <c r="H55" s="3">
        <f>$E$54+$B$67+$B$65*($C40+$C41+$C42)+$B$68*($C40+3*$C41+5*$C42)</f>
        <v>12074243.5362</v>
      </c>
      <c r="I55" s="3">
        <f>$E$54+$B$67+$B$65*($C40+$C41+$C42+$C43)+$B$68*($C40+3*$C41+5*$C42+7*$C43)</f>
        <v>13810927.202400001</v>
      </c>
      <c r="J55" s="3">
        <f>$E$54+$B$67+$B$65*($C40+$C41+$C42+$C43+$C44)+$B$68*($C40+3*$C41+5*$C42+7*$C43+9*$C44)</f>
        <v>15545040.955800001</v>
      </c>
      <c r="K55" s="3">
        <f>$E$54+$B$67+$B$65*($C40+$C41+$C42+$C43+$C44+$C45)+$B$68*($C40+3*$C41+5*$C42+7*$C43+9*$C44+11*$C45)</f>
        <v>17236458.235800002</v>
      </c>
      <c r="L55" s="3">
        <f>$E$54+$B$67+$B$65*($C40+$C41+$C42+$C43+$C44+$C45+$C46)+$B$68*($C40+3*$C41+5*$C42+7*$C43+9*$C44+11*$C45+13*$C46)</f>
        <v>18890435.7918</v>
      </c>
      <c r="M55" s="3">
        <f>$E$54+$B$67+$B$65*($C40+$C41+$C42+$C43+$C44+$C45+$C46+C47)+$B$68*($C40+3*$C41+5*$C42+7*$C43+9*$C44+11*$C45+13*$C46+15*$C47)</f>
        <v>20559492.901800003</v>
      </c>
      <c r="O55">
        <v>3</v>
      </c>
      <c r="P55" s="9">
        <v>1919</v>
      </c>
    </row>
    <row r="56" spans="1:23" ht="15" thickBot="1" x14ac:dyDescent="0.35">
      <c r="A56" s="2">
        <v>6</v>
      </c>
      <c r="B56" s="3"/>
      <c r="C56" s="3"/>
      <c r="D56" s="3"/>
      <c r="E56" s="3"/>
      <c r="F56" s="3"/>
      <c r="G56" s="6">
        <f>$F$55+$B$67+$B$65*$C41+$B$68*$C41</f>
        <v>10272284.094599999</v>
      </c>
      <c r="H56" s="3">
        <f>$F$55+$B$67+$B$65*($C41+$C42)+$B$68*($C41+3*$C42)</f>
        <v>12014038.878600001</v>
      </c>
      <c r="I56" s="3">
        <f>$F$55+$B$67+$B$65*($C41+$C42+$C43)+$B$68*($C41+3*$C42+5*$C43)</f>
        <v>13722084.651600001</v>
      </c>
      <c r="J56" s="3">
        <f>$F$55+$B$67+$B$65*($C41+$C42+$C43+$C44)+$B$68*($C41+3*$C42+5*$C43+7*$C44)</f>
        <v>15428066.7798</v>
      </c>
      <c r="K56" s="3">
        <f>$F$55+$B$67+$B$65*($C41+$C42+$C43+$C44+$C45)+$B$68*($C41+3*$C42+5*$C43+7*$C44+9*$C45)</f>
        <v>17092483.099799998</v>
      </c>
      <c r="L56" s="3">
        <f>$F$55+$B$67+$B$65*($C41+$C42+$C43+$C44+$C45+$C46)+$B$68*($C41+3*$C42+5*$C43+7*$C44+9*$C45+11*$C46)</f>
        <v>18720472.231800001</v>
      </c>
      <c r="M56" s="3">
        <f>$F$55+$B$67+$B$65*($C41+$C42+$C43+$C44+$C45+$C46+C47)+$B$68*($C41+3*$C42+5*$C43+7*$C44+9*$C45+11*$C46+13*C47)</f>
        <v>20363709.673800003</v>
      </c>
      <c r="O56">
        <v>4</v>
      </c>
      <c r="P56" s="10">
        <v>0</v>
      </c>
    </row>
    <row r="57" spans="1:23" ht="15" thickBot="1" x14ac:dyDescent="0.35">
      <c r="A57" s="2">
        <v>7</v>
      </c>
      <c r="B57" s="3"/>
      <c r="C57" s="3"/>
      <c r="D57" s="3"/>
      <c r="E57" s="3"/>
      <c r="F57" s="3"/>
      <c r="G57" s="3"/>
      <c r="H57" s="6">
        <f>$G$56+$B$67+$B$65*($C42)+$B$68*($C42)</f>
        <v>11984817.8226</v>
      </c>
      <c r="I57" s="3">
        <f>$G$56+$B$67+$B$65*($C42+$C43)+$B$68*($C42+3*$C43)</f>
        <v>13664225.702399999</v>
      </c>
      <c r="J57" s="3">
        <f>$G$56+$B$67+$B$65*($C42+$C43+$C44)+$B$68*($C42+3*$C43+5*$C44)</f>
        <v>15342076.205399999</v>
      </c>
      <c r="K57" s="3">
        <f>$G$56+$B$67+$B$65*($C42+$C43+$C44+$C45)+$B$68*($C42+3*$C43+5*$C44+7*$C45)</f>
        <v>16979491.565400001</v>
      </c>
      <c r="L57" s="3">
        <f>$G$56+$B$67+$B$65*($C42+$C43+$C44+$C45+$C46)+$B$68*($C42+3*$C43+5*$C44+7*$C45+9*$C46)</f>
        <v>18581492.273400001</v>
      </c>
      <c r="M57" s="3">
        <f>$G$56+$B$67+$B$65*($C42+$C43+$C44+$C45+$C46+$C47)+$B$68*($C42+3*$C43+5*$C44+7*$C45+9*$C46+11*$C47)</f>
        <v>20198910.047399998</v>
      </c>
      <c r="O57">
        <v>4</v>
      </c>
      <c r="P57" s="9">
        <v>1837</v>
      </c>
    </row>
    <row r="58" spans="1:23" ht="15" thickBot="1" x14ac:dyDescent="0.35">
      <c r="A58" s="2">
        <v>8</v>
      </c>
      <c r="B58" s="3"/>
      <c r="C58" s="3"/>
      <c r="D58" s="3"/>
      <c r="E58" s="3"/>
      <c r="F58" s="3"/>
      <c r="G58" s="3"/>
      <c r="H58" s="3"/>
      <c r="I58" s="6">
        <f>$H$57+$B$67+$B$65*($C43)+$B$68*($C43)</f>
        <v>13636067.809199998</v>
      </c>
      <c r="J58" s="3">
        <f>$H$57+$B$67+$B$65*($C43+$C44)+$B$68*($C43+3*$C44)</f>
        <v>15285786.687000001</v>
      </c>
      <c r="K58" s="3">
        <f>$H$57+$B$67+$B$65*($C43+$C44+$C45)+$B$68*($C43+3*$C44+5*$C45)</f>
        <v>16896201.087000001</v>
      </c>
      <c r="L58" s="3">
        <f>$H$57+$B$67+$B$65*($C43+$C44+$C45+$C46)+$B$68*($C43+3*$C44+5*$C45+7*$C46)</f>
        <v>18472213.370999999</v>
      </c>
      <c r="M58" s="3">
        <f>$H$57+$B$67+$B$65*($C43+$C44+$C45+$C46+$C47)+$B$68*($C43+3*$C44+5*$C45+7*$C46+9*$C47)</f>
        <v>20063811.477000002</v>
      </c>
      <c r="O58">
        <v>5</v>
      </c>
      <c r="P58" s="10">
        <v>0</v>
      </c>
    </row>
    <row r="59" spans="1:23" ht="15" thickBot="1" x14ac:dyDescent="0.35">
      <c r="A59" s="2">
        <v>9</v>
      </c>
      <c r="B59" s="3"/>
      <c r="C59" s="3"/>
      <c r="D59" s="3"/>
      <c r="E59" s="3"/>
      <c r="F59" s="3"/>
      <c r="G59" s="3"/>
      <c r="H59" s="3"/>
      <c r="I59" s="3"/>
      <c r="J59" s="6">
        <f>$I$58+$B$67+$B$65*($C44)+$B$68*($C44)</f>
        <v>15258135.061799997</v>
      </c>
      <c r="K59" s="3">
        <f>$I$58+$B$67+$B$65*($C44+3*$C45)+$B$68*($C44+3*$C45)</f>
        <v>19927372.501799997</v>
      </c>
      <c r="L59" s="3">
        <f>$I$58+$B$67+$B$65*($C44+3*$C45+$C46)+$B$68*($C44+3*$C45+5*$C46)</f>
        <v>21477396.3618</v>
      </c>
      <c r="M59" s="3">
        <f>$I$58+$B$67+$B$65*($C44+3*$C45+$C46+C47)+$B$68*($C44+3*$C45+5*$C46+7*C47)</f>
        <v>23043174.799800001</v>
      </c>
      <c r="O59">
        <v>5</v>
      </c>
      <c r="P59" s="9">
        <v>1836</v>
      </c>
    </row>
    <row r="60" spans="1:23" ht="15" thickBot="1" x14ac:dyDescent="0.35">
      <c r="A60" s="2">
        <v>10</v>
      </c>
      <c r="B60" s="3"/>
      <c r="C60" s="3"/>
      <c r="D60" s="3"/>
      <c r="E60" s="3"/>
      <c r="F60" s="3"/>
      <c r="G60" s="3"/>
      <c r="H60" s="3"/>
      <c r="I60" s="3"/>
      <c r="J60" s="3"/>
      <c r="K60" s="6">
        <f>$J$59+$B$67+$B$65*($C45)+$B$68*($C45)</f>
        <v>16815027.541799996</v>
      </c>
      <c r="L60" s="3">
        <f>$J$59+$B$67+$B$65*($C45+$C46)+$B$68*($C45+3*$C46)</f>
        <v>18339062.977799997</v>
      </c>
      <c r="M60" s="3">
        <f>$J$59+$B$67+$B$65*($C45+$C46+C47)+$B$68*($C45+3*$C46+5*C47)</f>
        <v>19879021.747799996</v>
      </c>
      <c r="O60">
        <v>6</v>
      </c>
      <c r="P60" s="10">
        <v>0</v>
      </c>
    </row>
    <row r="61" spans="1:23" x14ac:dyDescent="0.3">
      <c r="A61" s="2">
        <v>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6">
        <f>$K$60+$B$67+$B$65*($C46)+$B$68*($C46)</f>
        <v>18313554.553799998</v>
      </c>
      <c r="M61" s="3">
        <f>$K$60+$B$67+$B$65*($C46+C47)+$B$68*($C46+3*C47)</f>
        <v>19827693.6558</v>
      </c>
      <c r="O61">
        <v>6</v>
      </c>
      <c r="P61" s="18">
        <v>1760</v>
      </c>
    </row>
    <row r="62" spans="1:23" x14ac:dyDescent="0.3">
      <c r="A62" s="2">
        <v>12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6">
        <f>$L$61+$B$67+$B$65*($C47)+$B$68*($C47)</f>
        <v>19802353.987799998</v>
      </c>
      <c r="O62">
        <v>7</v>
      </c>
      <c r="P62">
        <v>0</v>
      </c>
    </row>
    <row r="63" spans="1:23" x14ac:dyDescent="0.3">
      <c r="A63" s="3" t="s">
        <v>10</v>
      </c>
      <c r="B63" s="7">
        <f t="shared" ref="B63:M63" si="0">MIN(B$51:B$62)</f>
        <v>1530628.0194000001</v>
      </c>
      <c r="C63" s="7">
        <f t="shared" si="0"/>
        <v>3110866.6866000001</v>
      </c>
      <c r="D63" s="7">
        <f t="shared" si="0"/>
        <v>4831182.477</v>
      </c>
      <c r="E63" s="7">
        <f t="shared" si="0"/>
        <v>6698384.6952</v>
      </c>
      <c r="F63" s="7">
        <f t="shared" si="0"/>
        <v>8485820.7738000005</v>
      </c>
      <c r="G63" s="7">
        <f t="shared" si="0"/>
        <v>10272284.094599999</v>
      </c>
      <c r="H63" s="7">
        <f t="shared" si="0"/>
        <v>11984817.8226</v>
      </c>
      <c r="I63" s="7">
        <f t="shared" si="0"/>
        <v>13636067.809199998</v>
      </c>
      <c r="J63" s="7">
        <f t="shared" si="0"/>
        <v>15258135.061799997</v>
      </c>
      <c r="K63" s="7">
        <f t="shared" si="0"/>
        <v>16815027.541799996</v>
      </c>
      <c r="L63" s="7">
        <f t="shared" si="0"/>
        <v>18313554.553799998</v>
      </c>
      <c r="M63" s="7">
        <f t="shared" si="0"/>
        <v>19802353.987799998</v>
      </c>
      <c r="O63">
        <v>7</v>
      </c>
      <c r="P63">
        <v>1697</v>
      </c>
    </row>
    <row r="64" spans="1:23" x14ac:dyDescent="0.3">
      <c r="A64" s="3" t="s">
        <v>11</v>
      </c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3">
        <v>6</v>
      </c>
      <c r="H64" s="3">
        <v>7</v>
      </c>
      <c r="I64" s="3">
        <v>8</v>
      </c>
      <c r="J64" s="3">
        <v>9</v>
      </c>
      <c r="K64" s="3">
        <v>10</v>
      </c>
      <c r="L64" s="3">
        <v>11</v>
      </c>
      <c r="M64" s="3">
        <v>12</v>
      </c>
      <c r="O64">
        <v>8</v>
      </c>
      <c r="P64">
        <v>0</v>
      </c>
    </row>
    <row r="65" spans="1:27" x14ac:dyDescent="0.3">
      <c r="A65" s="3" t="s">
        <v>5</v>
      </c>
      <c r="B65">
        <v>964.32</v>
      </c>
      <c r="O65">
        <v>8</v>
      </c>
      <c r="P65">
        <v>1667</v>
      </c>
      <c r="X65" s="1"/>
      <c r="Y65" s="1"/>
      <c r="Z65" s="1"/>
      <c r="AA65" s="1"/>
    </row>
    <row r="66" spans="1:27" x14ac:dyDescent="0.3">
      <c r="A66" s="3" t="s">
        <v>6</v>
      </c>
      <c r="B66">
        <v>1.7500000000000002E-2</v>
      </c>
      <c r="I66" s="1" t="s">
        <v>7</v>
      </c>
      <c r="J66" s="1"/>
      <c r="K66" s="1"/>
      <c r="L66" s="1"/>
      <c r="M66" s="17">
        <f>M62</f>
        <v>19802353.987799998</v>
      </c>
      <c r="O66">
        <v>9</v>
      </c>
      <c r="P66">
        <v>0</v>
      </c>
    </row>
    <row r="67" spans="1:27" x14ac:dyDescent="0.3">
      <c r="A67" s="3" t="s">
        <v>9</v>
      </c>
      <c r="B67">
        <v>480</v>
      </c>
      <c r="O67">
        <v>9</v>
      </c>
      <c r="P67">
        <v>1600</v>
      </c>
    </row>
    <row r="68" spans="1:27" x14ac:dyDescent="0.3">
      <c r="A68" s="3" t="s">
        <v>8</v>
      </c>
      <c r="B68">
        <f>B65*B66 /2</f>
        <v>8.4378000000000011</v>
      </c>
      <c r="O68">
        <v>10</v>
      </c>
      <c r="P68">
        <v>0</v>
      </c>
    </row>
    <row r="69" spans="1:27" x14ac:dyDescent="0.3">
      <c r="O69">
        <v>10</v>
      </c>
      <c r="P69">
        <v>1540</v>
      </c>
    </row>
    <row r="70" spans="1:27" x14ac:dyDescent="0.3">
      <c r="O70">
        <v>11</v>
      </c>
      <c r="P70">
        <v>0</v>
      </c>
    </row>
    <row r="71" spans="1:27" x14ac:dyDescent="0.3">
      <c r="O71">
        <v>11</v>
      </c>
      <c r="P71">
        <v>1530</v>
      </c>
    </row>
    <row r="72" spans="1:27" x14ac:dyDescent="0.3">
      <c r="O72">
        <v>12</v>
      </c>
      <c r="P72">
        <v>0</v>
      </c>
    </row>
  </sheetData>
  <mergeCells count="2">
    <mergeCell ref="A49:A50"/>
    <mergeCell ref="B49:M49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9887-B2D4-40CB-97F8-EDD75DABE67C}">
  <sheetPr codeName="Sheet1"/>
  <dimension ref="A18:AA72"/>
  <sheetViews>
    <sheetView topLeftCell="A52" workbookViewId="0">
      <selection activeCell="R65" sqref="R65"/>
    </sheetView>
  </sheetViews>
  <sheetFormatPr defaultRowHeight="14.4" x14ac:dyDescent="0.3"/>
  <cols>
    <col min="13" max="13" width="14.77734375" bestFit="1" customWidth="1"/>
    <col min="15" max="15" width="22.77734375" bestFit="1" customWidth="1"/>
    <col min="16" max="20" width="12" bestFit="1" customWidth="1"/>
    <col min="21" max="21" width="15.33203125" bestFit="1" customWidth="1"/>
    <col min="22" max="27" width="12" bestFit="1" customWidth="1"/>
  </cols>
  <sheetData>
    <row r="18" spans="2:3" x14ac:dyDescent="0.3">
      <c r="B18" s="5"/>
      <c r="C18" s="8">
        <v>29192</v>
      </c>
    </row>
    <row r="35" spans="1:21" x14ac:dyDescent="0.3">
      <c r="A35" s="3" t="s">
        <v>2</v>
      </c>
      <c r="B35" s="3" t="s">
        <v>3</v>
      </c>
      <c r="C35" s="3" t="s">
        <v>4</v>
      </c>
    </row>
    <row r="36" spans="1:21" ht="15" thickBot="1" x14ac:dyDescent="0.35">
      <c r="A36" s="3">
        <v>1</v>
      </c>
      <c r="B36" s="5">
        <v>45748</v>
      </c>
      <c r="C36" s="11">
        <v>1590</v>
      </c>
    </row>
    <row r="37" spans="1:21" ht="15" thickBot="1" x14ac:dyDescent="0.35">
      <c r="A37" s="3">
        <v>2</v>
      </c>
      <c r="B37" s="5">
        <v>45778</v>
      </c>
      <c r="C37" s="12">
        <v>1613</v>
      </c>
    </row>
    <row r="38" spans="1:21" ht="15" thickBot="1" x14ac:dyDescent="0.35">
      <c r="A38" s="3">
        <v>3</v>
      </c>
      <c r="B38" s="5">
        <v>45809</v>
      </c>
      <c r="C38" s="11">
        <v>1713</v>
      </c>
    </row>
    <row r="39" spans="1:21" ht="15" thickBot="1" x14ac:dyDescent="0.35">
      <c r="A39" s="3">
        <v>4</v>
      </c>
      <c r="B39" s="5">
        <v>45839</v>
      </c>
      <c r="C39" s="12">
        <v>1895</v>
      </c>
    </row>
    <row r="40" spans="1:21" ht="15" thickBot="1" x14ac:dyDescent="0.35">
      <c r="A40" s="3">
        <v>5</v>
      </c>
      <c r="B40" s="5">
        <v>45870</v>
      </c>
      <c r="C40" s="11">
        <v>1861</v>
      </c>
    </row>
    <row r="41" spans="1:21" ht="15" thickBot="1" x14ac:dyDescent="0.35">
      <c r="A41" s="3">
        <v>6</v>
      </c>
      <c r="B41" s="5">
        <v>45901</v>
      </c>
      <c r="C41" s="12">
        <v>1880</v>
      </c>
      <c r="P41" s="13"/>
      <c r="U41" s="14"/>
    </row>
    <row r="42" spans="1:21" ht="15" thickBot="1" x14ac:dyDescent="0.35">
      <c r="A42" s="3">
        <v>7</v>
      </c>
      <c r="B42" s="5">
        <v>45931</v>
      </c>
      <c r="C42" s="11">
        <v>1753</v>
      </c>
      <c r="P42" s="15"/>
      <c r="U42" s="16"/>
    </row>
    <row r="43" spans="1:21" ht="15" thickBot="1" x14ac:dyDescent="0.35">
      <c r="A43" s="3">
        <v>8</v>
      </c>
      <c r="B43" s="5">
        <v>45962</v>
      </c>
      <c r="C43" s="12">
        <v>1692</v>
      </c>
      <c r="U43" s="14"/>
    </row>
    <row r="44" spans="1:21" ht="15" thickBot="1" x14ac:dyDescent="0.35">
      <c r="A44" s="3">
        <v>9</v>
      </c>
      <c r="B44" s="5">
        <v>45992</v>
      </c>
      <c r="C44" s="11">
        <v>1665</v>
      </c>
    </row>
    <row r="45" spans="1:21" ht="15" thickBot="1" x14ac:dyDescent="0.35">
      <c r="A45" s="3">
        <v>10</v>
      </c>
      <c r="B45" s="5">
        <v>46023</v>
      </c>
      <c r="C45" s="12">
        <v>1600</v>
      </c>
    </row>
    <row r="46" spans="1:21" ht="15" thickBot="1" x14ac:dyDescent="0.35">
      <c r="A46" s="3">
        <v>11</v>
      </c>
      <c r="B46" s="5">
        <v>46054</v>
      </c>
      <c r="C46" s="11">
        <v>1537</v>
      </c>
    </row>
    <row r="47" spans="1:21" ht="15" thickBot="1" x14ac:dyDescent="0.35">
      <c r="A47" s="3">
        <v>12</v>
      </c>
      <c r="B47" s="5">
        <v>46082</v>
      </c>
      <c r="C47" s="12">
        <v>1524</v>
      </c>
    </row>
    <row r="48" spans="1:21" x14ac:dyDescent="0.3">
      <c r="O48" t="s">
        <v>14</v>
      </c>
      <c r="P48" t="s">
        <v>12</v>
      </c>
    </row>
    <row r="49" spans="1:23" ht="37.200000000000003" customHeight="1" thickBot="1" x14ac:dyDescent="0.35">
      <c r="A49" s="19" t="s">
        <v>13</v>
      </c>
      <c r="B49" s="20" t="s">
        <v>1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O49">
        <v>0</v>
      </c>
      <c r="P49" s="9">
        <v>1590</v>
      </c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19"/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</v>
      </c>
      <c r="P50" s="10">
        <v>0</v>
      </c>
    </row>
    <row r="51" spans="1:23" ht="15" thickBot="1" x14ac:dyDescent="0.35">
      <c r="A51" s="2">
        <v>1</v>
      </c>
      <c r="B51" s="4">
        <f>$B$67+$B$65*$C36+$B$68*$C36</f>
        <v>1404949.3488412499</v>
      </c>
      <c r="C51" s="3">
        <f>B67+B65*(C36+C37)+B68*(C36+3*C37)</f>
        <v>2854452.3906203751</v>
      </c>
      <c r="D51" s="3">
        <f>B67+B65*(C36+C37+C38)+B68*(C36+3*C37+5*C38)</f>
        <v>4420069.0899897497</v>
      </c>
      <c r="E51" s="3">
        <f>$B67+$B$65*($C36+$C37+$C38+$C39)+$B$68*($C36+3*$C37+5*$C38+7*$C39)</f>
        <v>6181065.6641716259</v>
      </c>
      <c r="F51" s="3">
        <f>$B67+$B$65*($C36+$C37+$C38+$C39+$C40)+$B$68*($C36+3*$C37+5*$C38+7*$C39+9*$C40)</f>
        <v>7938984.3212220008</v>
      </c>
      <c r="G51" s="3">
        <f>$B67+$B$65*($C36+$C37+$C38+$C39+$C40+$C41)+$B$68*($C36+3*$C37+5*$C38+7*$C39+9*$C40+11*$C41)</f>
        <v>9743659.5167169999</v>
      </c>
      <c r="H51" s="3">
        <f>$B67+$B$65*($C36+$C37+$C38+$C39+$C40+$C41+$C42)+$B$68*($C36+3*$C37+5*$C38+7*$C39+9*$C40+11*$C41+13*$C42)</f>
        <v>11453285.960452376</v>
      </c>
      <c r="I51" s="3">
        <f>$B67+$B$65*($C36+$C37+$C38+$C39+$C40+$C41+$C42+$C43)+$B$68*($C36+3*$C37+5*$C38+7*$C39+9*$C40+11*$C41+13*$C42+15*$C43)</f>
        <v>13129349.753759876</v>
      </c>
      <c r="J51" s="3">
        <f>$B67+$B$65*($C36+$C37+$C38+$C39+$C40+$C41+$C42+$C43+$C44)+$B$68*($C36+3*$C37+5*$C38+7*$C39+9*$C40+11*$C41+13*$C42+15*$C43+17*$C44)</f>
        <v>14804182.161301751</v>
      </c>
      <c r="K51" s="3">
        <f>$B67+$B$65*($C36+$C37+$C38+$C39+$C40+$C41+$C42+$C43+$C44+$C45)+$B$68*($C36+3*$C37+5*$C38+7*$C39+9*$C40+11*$C41+13*$C42+15*$C43+17*$C44+19*$C45)</f>
        <v>16438148.97990175</v>
      </c>
      <c r="L51" s="3">
        <f>$B67+$B$65*($C36+$C37+$C38+$C39+$C40+$C41+$C42+$C43+$C44+$C45+$C46)+$B$68*($C36+3*$C37+5*$C38+7*$C39+9*$C40+11*$C41+13*$C42+15*$C43+17*$C44+19*$C45+21*$C46)</f>
        <v>18031331.207379125</v>
      </c>
      <c r="M51" s="3">
        <f>$B67+$B$65*($C36+$C37+$C38+$C39+$C40+$C41+$C42+$C43+$C44+$C45+$C46+$C47)+$B$68*($C36+3*$C37+5*$C38+7*$C39+9*$C40+11*$C41+13*$C42+15*$C43+17*$C44+19*$C45+21*$C46+23*$C47)</f>
        <v>19634391.885109626</v>
      </c>
      <c r="O51">
        <v>1</v>
      </c>
      <c r="P51" s="9">
        <v>1613</v>
      </c>
    </row>
    <row r="52" spans="1:23" ht="15" thickBot="1" x14ac:dyDescent="0.35">
      <c r="A52" s="2">
        <v>2</v>
      </c>
      <c r="B52" s="3"/>
      <c r="C52" s="6">
        <f>$B$51+$B$67+$B$65*$C37+$B$68*$C37</f>
        <v>2830214.9209676245</v>
      </c>
      <c r="D52" s="3">
        <f>$B$51+$B$67+$B$65*($C37+$C38)+$B$68*($C37+3*$C38)</f>
        <v>4369581.7595092505</v>
      </c>
      <c r="E52" s="3">
        <f>$B$51+$B$67+$B$65*($C37+$C38+$C39)+$B$68*($C37+3*$C38+5*$C39)</f>
        <v>6101539.5209248746</v>
      </c>
      <c r="F52" s="3">
        <f>$B$51+$B$67+$B$65*($C37+$C38+$C39+$C40)+$B$68*($C37+3*$C38+5*$C39+7*$C40)</f>
        <v>7830940.3782085003</v>
      </c>
      <c r="G52" s="3">
        <f>$B$51+$B$67+$B$65*($C37+$C38+$C39+$C40+$C41)+$B$68*($C37+3*$C38+5*$C39+7*$C40+9*$C41)</f>
        <v>9606806.6196135003</v>
      </c>
      <c r="H52" s="3">
        <f>$B$51+$B$67+$B$65*($C37+$C38+$C39+$C40+$C41+$C42)+$B$68*($C37+3*$C38+5*$C39+7*$C40+9*$C41+11*$C42)</f>
        <v>11289570.246051125</v>
      </c>
      <c r="I52" s="3">
        <f>$B$51+$B$67+$B$65*($C37+$C38+$C39+$C40+$C41+$C42+$C43)+$B$68*($C37+3*$C38+5*$C39+7*$C40+9*$C41+11*$C42+13*$C43)</f>
        <v>12939705.980677625</v>
      </c>
      <c r="J52" s="3">
        <f>$B$51+$B$67+$B$65*($C37+$C38+$C39+$C40+$C41+$C42+$C43+$C44)+$B$68*($C37+3*$C38+5*$C39+7*$C40+9*$C41+11*$C42+13*$C43+15*$C44)</f>
        <v>14589024.07515575</v>
      </c>
      <c r="K52" s="3">
        <f>$B$51+$B$67+$B$65*($C37+$C38+$C39+$C40+$C41+$C42+$C43+$C44+$C45)+$B$68*($C37+3*$C38+5*$C39+7*$C40+9*$C41+11*$C42+13*$C43+15*$C44+17*$C45)</f>
        <v>16198472.634955751</v>
      </c>
      <c r="L52" s="3">
        <f>$B$51+$B$67+$B$65*($C37+$C38+$C39+$C40+$C41+$C42+$C43+$C44+$C45+$C46)+$B$68*($C37+3*$C38+5*$C39+7*$C40+9*$C41+11*$C42+13*$C43+15*$C44+17*$C45+19*$C46)</f>
        <v>17768102.010073375</v>
      </c>
      <c r="M52" s="3">
        <f>$B$51+$B$67+$B$65*($C37+$C38+$C39+$C40+$C41+$C42+$C43+$C44+$C45+$C46+C47)+$B$68*($C37+3*$C38+5*$C39+7*$C40+9*$C41+11*$C42+13*$C43+15*$C44+17*$C45+19*$C46+21*C47)</f>
        <v>19347809.046296876</v>
      </c>
      <c r="O52">
        <v>2</v>
      </c>
      <c r="P52" s="10">
        <v>0</v>
      </c>
    </row>
    <row r="53" spans="1:23" ht="15" thickBot="1" x14ac:dyDescent="0.35">
      <c r="A53" s="2">
        <v>3</v>
      </c>
      <c r="B53" s="3"/>
      <c r="C53" s="3"/>
      <c r="D53" s="6">
        <f>$C$52+$B$67+$B$65*($C38)+$B$68*($C38)</f>
        <v>4343811.8986814991</v>
      </c>
      <c r="E53" s="3">
        <f>$C$52+$B$67+$B$65*($C38+$C39)+$B$68*($C38+3*$C39)</f>
        <v>6046730.8473308748</v>
      </c>
      <c r="F53" s="3">
        <f>$C$52+$B$67+$B$65*($C38+$C39+$C40)+$B$68*($C38+3*$C39+5*$C40)</f>
        <v>7747613.9048477495</v>
      </c>
      <c r="G53" s="3">
        <f>$C$52+$B$67+$B$65*($C38+$C39+$C40+$C41)+$B$68*($C38+3*$C39+5*$C40+7*$C41)</f>
        <v>9494671.1921627503</v>
      </c>
      <c r="H53" s="3">
        <f>$C$52+$B$67+$B$65*($C38+$C39+$C40+$C41+$C42)+$B$68*($C38+3*$C39+5*$C40+7*$C41+9*$C42)</f>
        <v>11150572.001302624</v>
      </c>
      <c r="I53" s="3">
        <f>$C$52+$B$67+$B$65*($C38+$C39+$C40+$C41+$C42+$C43)+$B$68*($C38+3*$C39+5*$C40+7*$C41+9*$C42+11*$C43)</f>
        <v>12774779.677248124</v>
      </c>
      <c r="J53" s="3">
        <f>$C$52+$B$67+$B$65*($C38+$C39+$C40+$C41+$C42+$C43+$C44)+$B$68*($C38+3*$C39+5*$C40+7*$C41+9*$C42+11*$C43+13*$C44)</f>
        <v>14398583.458662499</v>
      </c>
      <c r="K53" s="3">
        <f>$C$52+$B$67+$B$65*($C38+$C39+$C40+$C41+$C42+$C43+$C44+$C45)+$B$68*($C38+3*$C39+5*$C40+7*$C41+9*$C42+11*$C43+13*$C44+15*$C45)</f>
        <v>15983513.759662498</v>
      </c>
      <c r="L53" s="3">
        <f>$C$52+$B$67+$B$65*($C38+$C39+$C40+$C41+$C42+$C43+$C44+$C45+$C46)+$B$68*($C38+3*$C39+5*$C40+7*$C41+9*$C42+11*$C43+13*$C44+15*$C45+17*$C46)</f>
        <v>17529590.282420374</v>
      </c>
      <c r="M53" s="3">
        <f>$C$52+$B$67+$B$65*($C38+$C39+$C40+$C41+$C42+$C43+$C44+$C45+$C46+$C47)+$B$68*($C38+3*$C39+5*$C40+7*$C41+9*$C42+11*$C43+13*$C44+15*$C45+17*$C46+19*C47)</f>
        <v>19085943.677136872</v>
      </c>
      <c r="O53">
        <v>2</v>
      </c>
      <c r="P53" s="9">
        <v>1713</v>
      </c>
    </row>
    <row r="54" spans="1:23" ht="15" thickBot="1" x14ac:dyDescent="0.35">
      <c r="A54" s="2">
        <v>4</v>
      </c>
      <c r="B54" s="3"/>
      <c r="C54" s="3"/>
      <c r="D54" s="3"/>
      <c r="E54" s="6">
        <f>$D$53+$B$67+$B$65*($C39)+$B$68*($C39)</f>
        <v>6018172.0345646245</v>
      </c>
      <c r="F54" s="3">
        <f>$D$53+$B$67+$B$65*($C39+$C40)+$B$68*($C39+3*$C40)</f>
        <v>7690537.2923147483</v>
      </c>
      <c r="G54" s="3">
        <f>$D$53+$B$67+$B$65*($C39+$C40+$C41)+$B$68*($C39+3*$C40+5*$C41)</f>
        <v>9408785.6255397499</v>
      </c>
      <c r="H54" s="3">
        <f>$D$53+$B$67+$B$65*($C39+$C40+$C41+$C42)+$B$68*($C39+3*$C40+5*$C41+7*$C42)</f>
        <v>11037823.617381874</v>
      </c>
      <c r="I54" s="3">
        <f>$D$53+$B$67+$B$65*($C39+$C40+$C41+$C42+$C43)+$B$68*($C39+3*$C40+5*$C41+7*$C42+9*$C43)</f>
        <v>12636103.234646374</v>
      </c>
      <c r="J54" s="3">
        <f>$D$53+$B$67+$B$65*($C39+$C40+$C41+$C42+$C43+$C44)+$B$68*($C39+3*$C40+5*$C41+7*$C42+9*$C43+11*$C44)</f>
        <v>14234392.702997001</v>
      </c>
      <c r="K54" s="3">
        <f>$D$53+$B$67+$B$65*($C39+$C40+$C41+$C42+$C43+$C44+$C45)+$B$68*($C39+3*$C40+5*$C41+7*$C42+9*$C43+11*$C44+13*$C45)</f>
        <v>15794804.745197</v>
      </c>
      <c r="L54" s="3">
        <f>$D$53+$B$67+$B$65*($C39+$C40+$C41+$C42+$C43+$C44+$C45+$C46)+$B$68*($C39+3*$C40+5*$C41+7*$C42+9*$C43+11*$C44+13*$C45+15*$C46)</f>
        <v>17317328.415595125</v>
      </c>
      <c r="M54" s="3">
        <f>$D$53+$B$67+$B$65*($C39+$C40+$C41+$C42+$C43+$C44+$C45+$C46+C47)+$B$68*($C39+3*$C40+5*$C41+7*$C42+9*$C43+11*$C44+13*$C45+15*$C46+17*C47)</f>
        <v>18850328.168804623</v>
      </c>
      <c r="O54">
        <v>3</v>
      </c>
      <c r="P54" s="10">
        <v>0</v>
      </c>
    </row>
    <row r="55" spans="1:23" ht="15" thickBot="1" x14ac:dyDescent="0.35">
      <c r="A55" s="2">
        <v>5</v>
      </c>
      <c r="B55" s="3"/>
      <c r="C55" s="3"/>
      <c r="D55" s="3"/>
      <c r="E55" s="3"/>
      <c r="F55" s="6">
        <f>$E$54+$B$67+$B$65*($C40)+$B$68*($C40)</f>
        <v>7662499.4925479991</v>
      </c>
      <c r="G55" s="3">
        <f>$E$54+$B$67+$B$65*($C40+$C41)+$B$68*($C40+3*$C41)</f>
        <v>9351938.8716829997</v>
      </c>
      <c r="H55" s="3">
        <f>$E$54+$B$67+$B$65*($C40+$C41+$C42)+$B$68*($C40+3*$C41+5*$C42)</f>
        <v>10954114.046227375</v>
      </c>
      <c r="I55" s="3">
        <f>$E$54+$B$67+$B$65*($C40+$C41+$C42+$C43)+$B$68*($C40+3*$C41+5*$C42+7*$C43)</f>
        <v>12526465.604810875</v>
      </c>
      <c r="J55" s="3">
        <f>$E$54+$B$67+$B$65*($C40+$C41+$C42+$C43+$C44)+$B$68*($C40+3*$C41+5*$C42+7*$C43+9*$C44)</f>
        <v>14099240.76009775</v>
      </c>
      <c r="K55" s="3">
        <f>$E$54+$B$67+$B$65*($C40+$C41+$C42+$C43+$C44+$C45)+$B$68*($C40+3*$C41+5*$C42+7*$C43+9*$C44+11*$C45)</f>
        <v>15635134.543497751</v>
      </c>
      <c r="L55" s="3">
        <f>$E$54+$B$67+$B$65*($C40+$C41+$C42+$C43+$C44+$C45+$C46)+$B$68*($C40+3*$C41+5*$C42+7*$C43+9*$C44+11*$C45+13*$C46)</f>
        <v>17134105.361536127</v>
      </c>
      <c r="M55" s="3">
        <f>$E$54+$B$67+$B$65*($C40+$C41+$C42+$C43+$C44+$C45+$C46+C47)+$B$68*($C40+3*$C41+5*$C42+7*$C43+9*$C44+11*$C45+13*$C46+15*$C47)</f>
        <v>18643751.473238625</v>
      </c>
      <c r="O55">
        <v>3</v>
      </c>
      <c r="P55" s="9">
        <v>1895</v>
      </c>
    </row>
    <row r="56" spans="1:23" ht="15" thickBot="1" x14ac:dyDescent="0.35">
      <c r="A56" s="2">
        <v>6</v>
      </c>
      <c r="B56" s="3"/>
      <c r="C56" s="3"/>
      <c r="D56" s="3"/>
      <c r="E56" s="3"/>
      <c r="F56" s="3"/>
      <c r="G56" s="6">
        <f>$F$55+$B$67+$B$65*$C41+$B$68*$C41</f>
        <v>9323609.9175929986</v>
      </c>
      <c r="H56" s="3">
        <f>$F$55+$B$67+$B$65*($C41+$C42)+$B$68*($C41+3*$C42)</f>
        <v>10898922.274839625</v>
      </c>
      <c r="I56" s="3">
        <f>$F$55+$B$67+$B$65*($C41+$C42+$C43)+$B$68*($C41+3*$C42+5*$C43)</f>
        <v>12445345.774742125</v>
      </c>
      <c r="J56" s="3">
        <f>$F$55+$B$67+$B$65*($C41+$C42+$C43+$C44)+$B$68*($C41+3*$C42+5*$C43+7*$C44)</f>
        <v>13992606.616965249</v>
      </c>
      <c r="K56" s="3">
        <f>$F$55+$B$67+$B$65*($C41+$C42+$C43+$C44+$C45)+$B$68*($C41+3*$C42+5*$C43+7*$C44+9*$C45)</f>
        <v>15503982.141565248</v>
      </c>
      <c r="L56" s="3">
        <f>$F$55+$B$67+$B$65*($C41+$C42+$C43+$C44+$C45+$C46)+$B$68*($C41+3*$C42+5*$C43+7*$C44+9*$C45+11*$C46)</f>
        <v>16979400.107243877</v>
      </c>
      <c r="M56" s="3">
        <f>$F$55+$B$67+$B$65*($C41+$C42+$C43+$C44+$C45+$C46+C47)+$B$68*($C41+3*$C42+5*$C43+7*$C44+9*$C45+11*$C46+13*C47)</f>
        <v>18465692.577439375</v>
      </c>
      <c r="O56">
        <v>4</v>
      </c>
      <c r="P56" s="10">
        <v>0</v>
      </c>
    </row>
    <row r="57" spans="1:23" ht="15" thickBot="1" x14ac:dyDescent="0.35">
      <c r="A57" s="2">
        <v>7</v>
      </c>
      <c r="B57" s="3"/>
      <c r="C57" s="3"/>
      <c r="D57" s="3"/>
      <c r="E57" s="3"/>
      <c r="F57" s="3"/>
      <c r="G57" s="3"/>
      <c r="H57" s="6">
        <f>$G$56+$B$67+$B$65*($C42)+$B$68*($C42)</f>
        <v>10872539.457541874</v>
      </c>
      <c r="I57" s="3">
        <f>$G$56+$B$67+$B$65*($C42+$C43)+$B$68*($C42+3*$C43)</f>
        <v>12393034.898763373</v>
      </c>
      <c r="J57" s="3">
        <f>$G$56+$B$67+$B$65*($C42+$C43+$C44)+$B$68*($C42+3*$C43+5*$C44)</f>
        <v>13914781.427922748</v>
      </c>
      <c r="K57" s="3">
        <f>$G$56+$B$67+$B$65*($C42+$C43+$C44+$C45)+$B$68*($C42+3*$C43+5*$C44+7*$C45)</f>
        <v>15401638.693722749</v>
      </c>
      <c r="L57" s="3">
        <f>$G$56+$B$67+$B$65*($C42+$C43+$C44+$C45+$C46)+$B$68*($C42+3*$C43+5*$C44+7*$C45+9*$C46)</f>
        <v>16853503.807041626</v>
      </c>
      <c r="M57" s="3">
        <f>$G$56+$B$67+$B$65*($C42+$C43+$C44+$C45+$C46+$C47)+$B$68*($C42+3*$C43+5*$C44+7*$C45+9*$C46+11*$C47)</f>
        <v>18316442.635730121</v>
      </c>
      <c r="O57">
        <v>4</v>
      </c>
      <c r="P57" s="9">
        <v>1861</v>
      </c>
    </row>
    <row r="58" spans="1:23" ht="15" thickBot="1" x14ac:dyDescent="0.35">
      <c r="A58" s="2">
        <v>8</v>
      </c>
      <c r="B58" s="3"/>
      <c r="C58" s="3"/>
      <c r="D58" s="3"/>
      <c r="E58" s="3"/>
      <c r="F58" s="3"/>
      <c r="G58" s="3"/>
      <c r="H58" s="3"/>
      <c r="I58" s="6">
        <f>$H$57+$B$67+$B$65*($C43)+$B$68*($C43)</f>
        <v>12367586.840082373</v>
      </c>
      <c r="J58" s="3">
        <f>$H$57+$B$67+$B$65*($C43+$C44)+$B$68*($C43+3*$C44)</f>
        <v>13863819.056177998</v>
      </c>
      <c r="K58" s="3">
        <f>$H$57+$B$67+$B$65*($C43+$C44+$C45)+$B$68*($C43+3*$C44+5*$C45)</f>
        <v>15326158.063178001</v>
      </c>
      <c r="L58" s="3">
        <f>$H$57+$B$67+$B$65*($C43+$C44+$C45+$C46)+$B$68*($C43+3*$C44+5*$C45+7*$C46)</f>
        <v>16754470.324137125</v>
      </c>
      <c r="M58" s="3">
        <f>$H$57+$B$67+$B$65*($C43+$C44+$C45+$C46+$C47)+$B$68*($C43+3*$C44+5*$C45+7*$C46+9*$C47)</f>
        <v>18194055.511318624</v>
      </c>
      <c r="O58">
        <v>5</v>
      </c>
      <c r="P58" s="10">
        <v>0</v>
      </c>
    </row>
    <row r="59" spans="1:23" ht="15" thickBot="1" x14ac:dyDescent="0.35">
      <c r="A59" s="2">
        <v>9</v>
      </c>
      <c r="B59" s="3"/>
      <c r="C59" s="3"/>
      <c r="D59" s="3"/>
      <c r="E59" s="3"/>
      <c r="F59" s="3"/>
      <c r="G59" s="3"/>
      <c r="H59" s="3"/>
      <c r="I59" s="3"/>
      <c r="J59" s="6">
        <f>$I$58+$B$67+$B$65*($C44)+$B$68*($C44)</f>
        <v>13838784.743114248</v>
      </c>
      <c r="K59" s="3">
        <f>$I$58+$B$67+$B$65*($C44+3*$C45)+$B$68*($C44+3*$C45)</f>
        <v>18078692.21131425</v>
      </c>
      <c r="L59" s="3">
        <f>$I$58+$B$67+$B$65*($C44+3*$C45+$C46)+$B$68*($C44+3*$C45+5*$C46)</f>
        <v>19483451.619913626</v>
      </c>
      <c r="M59" s="3">
        <f>$I$58+$B$67+$B$65*($C44+3*$C45+$C46+C47)+$B$68*($C44+3*$C45+5*$C46+7*C47)</f>
        <v>20899683.165588122</v>
      </c>
      <c r="O59">
        <v>5</v>
      </c>
      <c r="P59" s="9">
        <v>1880</v>
      </c>
    </row>
    <row r="60" spans="1:23" ht="15" thickBot="1" x14ac:dyDescent="0.35">
      <c r="A60" s="2">
        <v>10</v>
      </c>
      <c r="B60" s="3"/>
      <c r="C60" s="3"/>
      <c r="D60" s="3"/>
      <c r="E60" s="3"/>
      <c r="F60" s="3"/>
      <c r="G60" s="3"/>
      <c r="H60" s="3"/>
      <c r="I60" s="3"/>
      <c r="J60" s="3"/>
      <c r="K60" s="6">
        <f>$J$59+$B$67+$B$65*($C45)+$B$68*($C45)</f>
        <v>15252567.232514247</v>
      </c>
      <c r="L60" s="3">
        <f>$J$59+$B$67+$B$65*($C45+$C46)+$B$68*($C45+3*$C46)</f>
        <v>16633773.788753873</v>
      </c>
      <c r="M60" s="3">
        <f>$J$59+$B$67+$B$65*($C45+$C46+C47)+$B$68*($C45+3*$C46+5*C47)</f>
        <v>18026651.69292137</v>
      </c>
      <c r="O60">
        <v>6</v>
      </c>
      <c r="P60" s="10">
        <v>0</v>
      </c>
    </row>
    <row r="61" spans="1:23" x14ac:dyDescent="0.3">
      <c r="A61" s="2">
        <v>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6">
        <f>$K$60+$B$67+$B$65*($C46)+$B$68*($C46)</f>
        <v>16610700.936394121</v>
      </c>
      <c r="M61" s="3">
        <f>$K$60+$B$67+$B$65*($C46+C47)+$B$68*($C46+3*C47)</f>
        <v>17980225.199054621</v>
      </c>
      <c r="O61">
        <v>6</v>
      </c>
      <c r="P61" s="18">
        <v>1753</v>
      </c>
    </row>
    <row r="62" spans="1:23" x14ac:dyDescent="0.3">
      <c r="A62" s="2">
        <v>12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6">
        <f>$L$61+$B$67+$B$65*($C47)+$B$68*($C47)</f>
        <v>17957351.557547621</v>
      </c>
      <c r="O62">
        <v>7</v>
      </c>
      <c r="P62">
        <v>0</v>
      </c>
    </row>
    <row r="63" spans="1:23" x14ac:dyDescent="0.3">
      <c r="A63" s="3" t="s">
        <v>10</v>
      </c>
      <c r="B63" s="7">
        <f t="shared" ref="B63:M63" si="0">MIN(B$51:B$62)</f>
        <v>1404949.3488412499</v>
      </c>
      <c r="C63" s="7">
        <f t="shared" si="0"/>
        <v>2830214.9209676245</v>
      </c>
      <c r="D63" s="7">
        <f t="shared" si="0"/>
        <v>4343811.8986814991</v>
      </c>
      <c r="E63" s="7">
        <f t="shared" si="0"/>
        <v>6018172.0345646245</v>
      </c>
      <c r="F63" s="7">
        <f t="shared" si="0"/>
        <v>7662499.4925479991</v>
      </c>
      <c r="G63" s="7">
        <f t="shared" si="0"/>
        <v>9323609.9175929986</v>
      </c>
      <c r="H63" s="7">
        <f t="shared" si="0"/>
        <v>10872539.457541874</v>
      </c>
      <c r="I63" s="7">
        <f t="shared" si="0"/>
        <v>12367586.840082373</v>
      </c>
      <c r="J63" s="7">
        <f t="shared" si="0"/>
        <v>13838784.743114248</v>
      </c>
      <c r="K63" s="7">
        <f t="shared" si="0"/>
        <v>15252567.232514247</v>
      </c>
      <c r="L63" s="7">
        <f t="shared" si="0"/>
        <v>16610700.936394121</v>
      </c>
      <c r="M63" s="7">
        <f t="shared" si="0"/>
        <v>17957351.557547621</v>
      </c>
      <c r="O63">
        <v>7</v>
      </c>
      <c r="P63">
        <v>1692</v>
      </c>
    </row>
    <row r="64" spans="1:23" x14ac:dyDescent="0.3">
      <c r="A64" s="3" t="s">
        <v>11</v>
      </c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3">
        <v>6</v>
      </c>
      <c r="H64" s="3">
        <v>7</v>
      </c>
      <c r="I64" s="3">
        <v>8</v>
      </c>
      <c r="J64" s="3">
        <v>9</v>
      </c>
      <c r="K64" s="3">
        <v>10</v>
      </c>
      <c r="L64" s="3">
        <v>11</v>
      </c>
      <c r="M64" s="3">
        <v>12</v>
      </c>
      <c r="O64">
        <v>8</v>
      </c>
      <c r="P64">
        <v>0</v>
      </c>
    </row>
    <row r="65" spans="1:27" x14ac:dyDescent="0.3">
      <c r="A65" s="3" t="s">
        <v>5</v>
      </c>
      <c r="B65">
        <v>875.65210000000002</v>
      </c>
      <c r="O65">
        <v>8</v>
      </c>
      <c r="P65">
        <v>1665</v>
      </c>
      <c r="X65" s="1"/>
      <c r="Y65" s="1"/>
      <c r="Z65" s="1"/>
      <c r="AA65" s="1"/>
    </row>
    <row r="66" spans="1:27" x14ac:dyDescent="0.3">
      <c r="A66" s="3" t="s">
        <v>6</v>
      </c>
      <c r="B66">
        <v>1.7500000000000002E-2</v>
      </c>
      <c r="I66" s="1" t="s">
        <v>7</v>
      </c>
      <c r="J66" s="1"/>
      <c r="K66" s="1"/>
      <c r="L66" s="1"/>
      <c r="M66" s="17">
        <f>M62</f>
        <v>17957351.557547621</v>
      </c>
      <c r="O66">
        <v>9</v>
      </c>
      <c r="P66">
        <v>0</v>
      </c>
    </row>
    <row r="67" spans="1:27" x14ac:dyDescent="0.3">
      <c r="A67" s="3" t="s">
        <v>9</v>
      </c>
      <c r="B67">
        <v>480</v>
      </c>
      <c r="O67">
        <v>9</v>
      </c>
      <c r="P67">
        <v>1600</v>
      </c>
    </row>
    <row r="68" spans="1:27" x14ac:dyDescent="0.3">
      <c r="A68" s="3" t="s">
        <v>8</v>
      </c>
      <c r="B68">
        <f>B65*B66 /2</f>
        <v>7.6619558750000012</v>
      </c>
      <c r="O68">
        <v>10</v>
      </c>
      <c r="P68">
        <v>0</v>
      </c>
    </row>
    <row r="69" spans="1:27" x14ac:dyDescent="0.3">
      <c r="O69">
        <v>10</v>
      </c>
      <c r="P69">
        <v>1537</v>
      </c>
    </row>
    <row r="70" spans="1:27" x14ac:dyDescent="0.3">
      <c r="O70">
        <v>11</v>
      </c>
      <c r="P70">
        <v>0</v>
      </c>
    </row>
    <row r="71" spans="1:27" x14ac:dyDescent="0.3">
      <c r="O71">
        <v>11</v>
      </c>
      <c r="P71">
        <v>1524</v>
      </c>
    </row>
    <row r="72" spans="1:27" x14ac:dyDescent="0.3">
      <c r="O72">
        <v>12</v>
      </c>
      <c r="P72">
        <v>0</v>
      </c>
    </row>
  </sheetData>
  <mergeCells count="2">
    <mergeCell ref="A49:A50"/>
    <mergeCell ref="B49:M49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27F6-264F-4924-B1BB-8D48090BF7BB}">
  <sheetPr codeName="Sheet2"/>
  <dimension ref="A18:AA72"/>
  <sheetViews>
    <sheetView topLeftCell="A73" workbookViewId="0">
      <selection activeCell="O46" sqref="O46"/>
    </sheetView>
  </sheetViews>
  <sheetFormatPr defaultRowHeight="14.4" x14ac:dyDescent="0.3"/>
  <cols>
    <col min="13" max="13" width="14.77734375" bestFit="1" customWidth="1"/>
    <col min="15" max="15" width="22.77734375" bestFit="1" customWidth="1"/>
    <col min="16" max="20" width="12" bestFit="1" customWidth="1"/>
    <col min="21" max="21" width="15.33203125" bestFit="1" customWidth="1"/>
    <col min="22" max="27" width="12" bestFit="1" customWidth="1"/>
  </cols>
  <sheetData>
    <row r="18" spans="2:3" x14ac:dyDescent="0.3">
      <c r="B18" s="5"/>
      <c r="C18" s="8">
        <v>29192</v>
      </c>
    </row>
    <row r="35" spans="1:21" x14ac:dyDescent="0.3">
      <c r="A35" s="3" t="s">
        <v>2</v>
      </c>
      <c r="B35" s="3" t="s">
        <v>3</v>
      </c>
      <c r="C35" s="3" t="s">
        <v>4</v>
      </c>
    </row>
    <row r="36" spans="1:21" ht="15" thickBot="1" x14ac:dyDescent="0.35">
      <c r="A36" s="3">
        <v>1</v>
      </c>
      <c r="B36" s="5">
        <v>45748</v>
      </c>
      <c r="C36" s="11">
        <v>1210</v>
      </c>
    </row>
    <row r="37" spans="1:21" ht="15" thickBot="1" x14ac:dyDescent="0.35">
      <c r="A37" s="3">
        <v>2</v>
      </c>
      <c r="B37" s="5">
        <v>45778</v>
      </c>
      <c r="C37" s="12">
        <v>1211</v>
      </c>
    </row>
    <row r="38" spans="1:21" ht="15" thickBot="1" x14ac:dyDescent="0.35">
      <c r="A38" s="3">
        <v>3</v>
      </c>
      <c r="B38" s="5">
        <v>45809</v>
      </c>
      <c r="C38" s="11">
        <v>1348</v>
      </c>
    </row>
    <row r="39" spans="1:21" ht="15" thickBot="1" x14ac:dyDescent="0.35">
      <c r="A39" s="3">
        <v>4</v>
      </c>
      <c r="B39" s="5">
        <v>45839</v>
      </c>
      <c r="C39" s="12">
        <v>1485</v>
      </c>
    </row>
    <row r="40" spans="1:21" ht="15" thickBot="1" x14ac:dyDescent="0.35">
      <c r="A40" s="3">
        <v>5</v>
      </c>
      <c r="B40" s="5">
        <v>45870</v>
      </c>
      <c r="C40" s="11">
        <v>1478</v>
      </c>
    </row>
    <row r="41" spans="1:21" ht="15" thickBot="1" x14ac:dyDescent="0.35">
      <c r="A41" s="3">
        <v>6</v>
      </c>
      <c r="B41" s="5">
        <v>45901</v>
      </c>
      <c r="C41" s="12">
        <v>1653</v>
      </c>
      <c r="P41" s="13"/>
      <c r="U41" s="14"/>
    </row>
    <row r="42" spans="1:21" ht="15" thickBot="1" x14ac:dyDescent="0.35">
      <c r="A42" s="3">
        <v>7</v>
      </c>
      <c r="B42" s="5">
        <v>45931</v>
      </c>
      <c r="C42" s="11">
        <v>1252</v>
      </c>
      <c r="P42" s="15"/>
      <c r="U42" s="16"/>
    </row>
    <row r="43" spans="1:21" ht="15" thickBot="1" x14ac:dyDescent="0.35">
      <c r="A43" s="3">
        <v>8</v>
      </c>
      <c r="B43" s="5">
        <v>45962</v>
      </c>
      <c r="C43" s="12">
        <v>1566</v>
      </c>
      <c r="U43" s="14"/>
    </row>
    <row r="44" spans="1:21" ht="15" thickBot="1" x14ac:dyDescent="0.35">
      <c r="A44" s="3">
        <v>9</v>
      </c>
      <c r="B44" s="5">
        <v>45992</v>
      </c>
      <c r="C44" s="11">
        <v>1690</v>
      </c>
    </row>
    <row r="45" spans="1:21" ht="15" thickBot="1" x14ac:dyDescent="0.35">
      <c r="A45" s="3">
        <v>10</v>
      </c>
      <c r="B45" s="5">
        <v>46023</v>
      </c>
      <c r="C45" s="12">
        <v>1733</v>
      </c>
    </row>
    <row r="46" spans="1:21" ht="15" thickBot="1" x14ac:dyDescent="0.35">
      <c r="A46" s="3">
        <v>11</v>
      </c>
      <c r="B46" s="5">
        <v>46054</v>
      </c>
      <c r="C46" s="11">
        <v>1347</v>
      </c>
    </row>
    <row r="47" spans="1:21" ht="15" thickBot="1" x14ac:dyDescent="0.35">
      <c r="A47" s="3">
        <v>12</v>
      </c>
      <c r="B47" s="5">
        <v>46082</v>
      </c>
      <c r="C47" s="12">
        <v>1443</v>
      </c>
    </row>
    <row r="48" spans="1:21" x14ac:dyDescent="0.3">
      <c r="O48" t="s">
        <v>14</v>
      </c>
      <c r="P48" t="s">
        <v>12</v>
      </c>
    </row>
    <row r="49" spans="1:23" ht="37.200000000000003" customHeight="1" thickBot="1" x14ac:dyDescent="0.35">
      <c r="A49" s="19" t="s">
        <v>13</v>
      </c>
      <c r="B49" s="20" t="s">
        <v>1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O49">
        <v>0</v>
      </c>
      <c r="P49" s="9">
        <v>1210</v>
      </c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19"/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</v>
      </c>
      <c r="P50" s="10">
        <v>0</v>
      </c>
    </row>
    <row r="51" spans="1:23" ht="15" thickBot="1" x14ac:dyDescent="0.35">
      <c r="A51" s="2">
        <v>1</v>
      </c>
      <c r="B51" s="4">
        <f>$B$67+$B$65*$C36+$B$68*$C36</f>
        <v>1178744.1166725</v>
      </c>
      <c r="C51" s="3">
        <f>B67+B65*(C36+C37)+B68*(C36+3*C37)</f>
        <v>2378439.6638817498</v>
      </c>
      <c r="D51" s="3">
        <f>B67+B65*(C36+C37+C38)+B68*(C36+3*C37+5*C38)</f>
        <v>3736628.3685467499</v>
      </c>
      <c r="E51" s="3">
        <f>$B67+$B$65*($C36+$C37+$C38+$C39)+$B$68*($C36+3*$C37+5*$C38+7*$C39)</f>
        <v>5257938.9659604998</v>
      </c>
      <c r="F51" s="3">
        <f>$B67+$B$65*($C36+$C37+$C38+$C39+$C40)+$B$68*($C36+3*$C37+5*$C38+7*$C39+9*$C40)</f>
        <v>6797046.5437799999</v>
      </c>
      <c r="G51" s="3">
        <f>$B67+$B$65*($C36+$C37+$C38+$C39+$C40+$C41)+$B$68*($C36+3*$C37+5*$C38+7*$C39+9*$C40+11*$C41)</f>
        <v>8546313.9077767488</v>
      </c>
      <c r="H51" s="3">
        <f>$B67+$B$65*($C36+$C37+$C38+$C39+$C40+$C41+$C42)+$B$68*($C36+3*$C37+5*$C38+7*$C39+9*$C40+11*$C41+13*$C42)</f>
        <v>9892378.1254177485</v>
      </c>
      <c r="I51" s="3">
        <f>$B67+$B$65*($C36+$C37+$C38+$C39+$C40+$C41+$C42+$C43)+$B$68*($C36+3*$C37+5*$C38+7*$C39+9*$C40+11*$C41+13*$C42+15*$C43)</f>
        <v>11602488.27122025</v>
      </c>
      <c r="J51" s="3">
        <f>$B67+$B$65*($C36+$C37+$C38+$C39+$C40+$C41+$C42+$C43+$C44)+$B$68*($C36+3*$C37+5*$C38+7*$C39+9*$C40+11*$C41+13*$C42+15*$C43+17*$C44)</f>
        <v>13476558.936212748</v>
      </c>
      <c r="K51" s="3">
        <f>$B67+$B$65*($C36+$C37+$C38+$C39+$C40+$C41+$C42+$C43+$C44+$C45)+$B$68*($C36+3*$C37+5*$C38+7*$C39+9*$C40+11*$C41+13*$C42+15*$C43+17*$C44+19*$C45)</f>
        <v>15427588.962063501</v>
      </c>
      <c r="L51" s="3">
        <f>$B67+$B$65*($C36+$C37+$C38+$C39+$C40+$C41+$C42+$C43+$C44+$C45+$C46)+$B$68*($C36+3*$C37+5*$C38+7*$C39+9*$C40+11*$C41+13*$C42+15*$C43+17*$C44+19*$C45+21*$C46)</f>
        <v>16966811.172274251</v>
      </c>
      <c r="M51" s="3">
        <f>$B67+$B$65*($C36+$C37+$C38+$C39+$C40+$C41+$C42+$C43+$C44+$C45+$C46+$C47)+$B$68*($C36+3*$C37+5*$C38+7*$C39+9*$C40+11*$C41+13*$C42+15*$C43+17*$C44+19*$C45+21*$C46+23*$C47)</f>
        <v>18640109.840604499</v>
      </c>
      <c r="O51">
        <v>1</v>
      </c>
      <c r="P51" s="9">
        <v>1211</v>
      </c>
    </row>
    <row r="52" spans="1:23" ht="15" thickBot="1" x14ac:dyDescent="0.35">
      <c r="A52" s="2">
        <v>2</v>
      </c>
      <c r="B52" s="3"/>
      <c r="C52" s="6">
        <f>$B$51+$B$67+$B$65*$C37+$B$68*$C37</f>
        <v>2358462.0053422498</v>
      </c>
      <c r="D52" s="3">
        <f>$B$51+$B$67+$B$65*($C37+$C38)+$B$68*($C37+3*$C38)</f>
        <v>3693878.6838212498</v>
      </c>
      <c r="E52" s="3">
        <f>$B$51+$B$67+$B$65*($C37+$C38+$C39)+$B$68*($C37+3*$C38+5*$C39)</f>
        <v>5190102.8874024991</v>
      </c>
      <c r="F52" s="3">
        <f>$B$51+$B$67+$B$65*($C37+$C38+$C39+$C40)+$B$68*($C37+3*$C38+5*$C39+7*$C40)</f>
        <v>6704242.3237509998</v>
      </c>
      <c r="G52" s="3">
        <f>$B$51+$B$67+$B$65*($C37+$C38+$C39+$C40+$C41)+$B$68*($C37+3*$C38+5*$C39+7*$C40+9*$C41)</f>
        <v>8425585.2372392491</v>
      </c>
      <c r="H52" s="3">
        <f>$B$51+$B$67+$B$65*($C37+$C38+$C39+$C40+$C41+$C42)+$B$68*($C37+3*$C38+5*$C39+7*$C40+9*$C41+11*$C42)</f>
        <v>9750499.1753662489</v>
      </c>
      <c r="I52" s="3">
        <f>$B$51+$B$67+$B$65*($C37+$C38+$C39+$C40+$C41+$C42+$C43)+$B$68*($C37+3*$C38+5*$C39+7*$C40+9*$C41+11*$C42+13*$C43)</f>
        <v>11434154.57858175</v>
      </c>
      <c r="J52" s="3">
        <f>$B$51+$B$67+$B$65*($C37+$C38+$C39+$C40+$C41+$C42+$C43+$C44)+$B$68*($C37+3*$C38+5*$C39+7*$C40+9*$C41+11*$C42+13*$C43+15*$C44)</f>
        <v>13279675.744869249</v>
      </c>
      <c r="K52" s="3">
        <f>$B$51+$B$67+$B$65*($C37+$C38+$C39+$C40+$C41+$C42+$C43+$C44+$C45)+$B$68*($C37+3*$C38+5*$C39+7*$C40+9*$C41+11*$C42+13*$C43+15*$C44+17*$C45)</f>
        <v>15201429.864651499</v>
      </c>
      <c r="L52" s="3">
        <f>$B$51+$B$67+$B$65*($C37+$C38+$C39+$C40+$C41+$C42+$C43+$C44+$C45+$C46)+$B$68*($C37+3*$C38+5*$C39+7*$C40+9*$C41+11*$C42+13*$C43+15*$C44+17*$C45+19*$C46)</f>
        <v>16717896.941870749</v>
      </c>
      <c r="M52" s="3">
        <f>$B$51+$B$67+$B$65*($C37+$C38+$C39+$C40+$C41+$C42+$C43+$C44+$C45+$C46+C47)+$B$68*($C37+3*$C38+5*$C39+7*$C40+9*$C41+11*$C42+13*$C43+15*$C44+17*$C45+19*$C46+21*C47)</f>
        <v>18366818.7305375</v>
      </c>
      <c r="O52">
        <v>2</v>
      </c>
      <c r="P52" s="10">
        <v>0</v>
      </c>
    </row>
    <row r="53" spans="1:23" ht="15" thickBot="1" x14ac:dyDescent="0.35">
      <c r="A53" s="2">
        <v>3</v>
      </c>
      <c r="B53" s="3"/>
      <c r="C53" s="3"/>
      <c r="D53" s="6">
        <f>$C$52+$B$67+$B$65*($C38)+$B$68*($C38)</f>
        <v>3671586.6576352497</v>
      </c>
      <c r="E53" s="3">
        <f>$C$52+$B$67+$B$65*($C38+$C39)+$B$68*($C38+3*$C39)</f>
        <v>5142724.4673839994</v>
      </c>
      <c r="F53" s="3">
        <f>$C$52+$B$67+$B$65*($C38+$C39+$C40)+$B$68*($C38+3*$C39+5*$C40)</f>
        <v>6631895.7622614997</v>
      </c>
      <c r="G53" s="3">
        <f>$C$52+$B$67+$B$65*($C38+$C39+$C40+$C41)+$B$68*($C38+3*$C39+5*$C40+7*$C41)</f>
        <v>8325314.2252412494</v>
      </c>
      <c r="H53" s="3">
        <f>$C$52+$B$67+$B$65*($C38+$C39+$C40+$C41+$C42)+$B$68*($C38+3*$C39+5*$C40+7*$C41+9*$C42)</f>
        <v>9629077.8838542495</v>
      </c>
      <c r="I53" s="3">
        <f>$C$52+$B$67+$B$65*($C38+$C39+$C40+$C41+$C42+$C43)+$B$68*($C38+3*$C39+5*$C40+7*$C41+9*$C42+11*$C43)</f>
        <v>11286278.544482747</v>
      </c>
      <c r="J53" s="3">
        <f>$C$52+$B$67+$B$65*($C38+$C39+$C40+$C41+$C42+$C43+$C44)+$B$68*($C38+3*$C39+5*$C40+7*$C41+9*$C42+11*$C43+13*$C44)</f>
        <v>13103250.212065252</v>
      </c>
      <c r="K53" s="3">
        <f>$C$52+$B$67+$B$65*($C38+$C39+$C40+$C41+$C42+$C43+$C44+$C45)+$B$68*($C38+3*$C39+5*$C40+7*$C41+9*$C42+11*$C43+13*$C44+15*$C45)</f>
        <v>14995728.425778998</v>
      </c>
      <c r="L53" s="3">
        <f>$C$52+$B$67+$B$65*($C38+$C39+$C40+$C41+$C42+$C43+$C44+$C45+$C46)+$B$68*($C38+3*$C39+5*$C40+7*$C41+9*$C42+11*$C43+13*$C44+15*$C45+17*$C46)</f>
        <v>16489440.370006748</v>
      </c>
      <c r="M53" s="3">
        <f>$C$52+$B$67+$B$65*($C38+$C39+$C40+$C41+$C42+$C43+$C44+$C45+$C46+$C47)+$B$68*($C38+3*$C39+5*$C40+7*$C41+9*$C42+11*$C43+13*$C44+15*$C45+17*$C46+19*C47)</f>
        <v>18113985.279009998</v>
      </c>
      <c r="O53">
        <v>2</v>
      </c>
      <c r="P53" s="9">
        <v>1348</v>
      </c>
    </row>
    <row r="54" spans="1:23" ht="15" thickBot="1" x14ac:dyDescent="0.35">
      <c r="A54" s="2">
        <v>4</v>
      </c>
      <c r="B54" s="3"/>
      <c r="C54" s="3"/>
      <c r="D54" s="3"/>
      <c r="E54" s="6">
        <f>$D$53+$B$67+$B$65*($C39)+$B$68*($C39)</f>
        <v>5118118.0735514993</v>
      </c>
      <c r="F54" s="3">
        <f>$D$53+$B$67+$B$65*($C39+$C40)+$B$68*($C39+3*$C40)</f>
        <v>6582321.2269579992</v>
      </c>
      <c r="G54" s="3">
        <f>$D$53+$B$67+$B$65*($C39+$C40+$C41)+$B$68*($C39+3*$C40+5*$C41)</f>
        <v>8247815.2394292485</v>
      </c>
      <c r="H54" s="3">
        <f>$D$53+$B$67+$B$65*($C39+$C40+$C41+$C42)+$B$68*($C39+3*$C40+5*$C41+7*$C42)</f>
        <v>9530428.6185282487</v>
      </c>
      <c r="I54" s="3">
        <f>$D$53+$B$67+$B$65*($C39+$C40+$C41+$C42+$C43)+$B$68*($C39+3*$C40+5*$C41+7*$C42+9*$C43)</f>
        <v>11161174.53656975</v>
      </c>
      <c r="J54" s="3">
        <f>$D$53+$B$67+$B$65*($C39+$C40+$C41+$C42+$C43+$C44)+$B$68*($C39+3*$C40+5*$C41+7*$C42+9*$C43+11*$C44)</f>
        <v>12949596.705447249</v>
      </c>
      <c r="K54" s="3">
        <f>$D$53+$B$67+$B$65*($C39+$C40+$C41+$C42+$C43+$C44+$C45)+$B$68*($C39+3*$C40+5*$C41+7*$C42+9*$C43+11*$C44+13*$C45)</f>
        <v>14812799.013092499</v>
      </c>
      <c r="L54" s="3">
        <f>$D$53+$B$67+$B$65*($C39+$C40+$C41+$C42+$C43+$C44+$C45+$C46)+$B$68*($C39+3*$C40+5*$C41+7*$C42+9*$C43+11*$C44+13*$C45+15*$C46)</f>
        <v>16283755.824328749</v>
      </c>
      <c r="M54" s="3">
        <f>$D$53+$B$67+$B$65*($C39+$C40+$C41+$C42+$C43+$C44+$C45+$C46+C47)+$B$68*($C39+3*$C40+5*$C41+7*$C42+9*$C43+11*$C44+13*$C45+15*$C46+17*C47)</f>
        <v>17883923.8536685</v>
      </c>
      <c r="O54">
        <v>3</v>
      </c>
      <c r="P54" s="10">
        <v>0</v>
      </c>
    </row>
    <row r="55" spans="1:23" ht="15" thickBot="1" x14ac:dyDescent="0.35">
      <c r="A55" s="2">
        <v>5</v>
      </c>
      <c r="B55" s="3"/>
      <c r="C55" s="3"/>
      <c r="D55" s="3"/>
      <c r="E55" s="3"/>
      <c r="F55" s="6">
        <f>$E$54+$B$67+$B$65*($C40)+$B$68*($C40)</f>
        <v>6557833.0854869997</v>
      </c>
      <c r="G55" s="3">
        <f>$E$54+$B$67+$B$65*($C40+$C41)+$B$68*($C40+3*$C41)</f>
        <v>8195402.6474497495</v>
      </c>
      <c r="H55" s="3">
        <f>$E$54+$B$67+$B$65*($C40+$C41+$C42)+$B$68*($C40+3*$C41+5*$C42)</f>
        <v>9456865.747034749</v>
      </c>
      <c r="I55" s="3">
        <f>$E$54+$B$67+$B$65*($C40+$C41+$C42+$C43)+$B$68*($C40+3*$C41+5*$C42+7*$C43)</f>
        <v>11061156.922489248</v>
      </c>
      <c r="J55" s="3">
        <f>$E$54+$B$67+$B$65*($C40+$C41+$C42+$C43+$C44)+$B$68*($C40+3*$C41+5*$C42+7*$C43+9*$C44)</f>
        <v>12821029.592661748</v>
      </c>
      <c r="K55" s="3">
        <f>$E$54+$B$67+$B$65*($C40+$C41+$C42+$C43+$C44+$C45)+$B$68*($C40+3*$C41+5*$C42+7*$C43+9*$C44+11*$C45)</f>
        <v>14654955.9942385</v>
      </c>
      <c r="L55" s="3">
        <f>$E$54+$B$67+$B$65*($C40+$C41+$C42+$C43+$C44+$C45+$C46)+$B$68*($C40+3*$C41+5*$C42+7*$C43+9*$C44+11*$C45+13*$C46)</f>
        <v>16103157.672483249</v>
      </c>
      <c r="M55" s="3">
        <f>$E$54+$B$67+$B$65*($C40+$C41+$C42+$C43+$C44+$C45+$C46+C47)+$B$68*($C40+3*$C41+5*$C42+7*$C43+9*$C44+11*$C45+13*$C46+15*$C47)</f>
        <v>17678948.822159499</v>
      </c>
      <c r="O55">
        <v>3</v>
      </c>
      <c r="P55" s="9">
        <v>1485</v>
      </c>
    </row>
    <row r="56" spans="1:23" ht="15" thickBot="1" x14ac:dyDescent="0.35">
      <c r="A56" s="2">
        <v>6</v>
      </c>
      <c r="B56" s="3"/>
      <c r="C56" s="3"/>
      <c r="D56" s="3"/>
      <c r="E56" s="3"/>
      <c r="F56" s="3"/>
      <c r="G56" s="6">
        <f>$F$55+$B$67+$B$65*$C41+$B$68*$C41</f>
        <v>8167958.1969412491</v>
      </c>
      <c r="H56" s="3">
        <f>$F$55+$B$67+$B$65*($C41+$C42)+$B$68*($C41+3*$C42)</f>
        <v>9408271.0170122497</v>
      </c>
      <c r="I56" s="3">
        <f>$F$55+$B$67+$B$65*($C41+$C42+$C43)+$B$68*($C41+3*$C42+5*$C43)</f>
        <v>10986107.449879751</v>
      </c>
      <c r="J56" s="3">
        <f>$F$55+$B$67+$B$65*($C41+$C42+$C43+$C44)+$B$68*($C41+3*$C42+5*$C43+7*$C44)</f>
        <v>12717430.62134725</v>
      </c>
      <c r="K56" s="3">
        <f>$F$55+$B$67+$B$65*($C41+$C42+$C43+$C44+$C45)+$B$68*($C41+3*$C42+5*$C43+7*$C44+9*$C45)</f>
        <v>14522081.116855498</v>
      </c>
      <c r="L56" s="3">
        <f>$F$55+$B$67+$B$65*($C41+$C42+$C43+$C44+$C45+$C46)+$B$68*($C41+3*$C42+5*$C43+7*$C44+9*$C45+11*$C46)</f>
        <v>15947527.662108747</v>
      </c>
      <c r="M56" s="3">
        <f>$F$55+$B$67+$B$65*($C41+$C42+$C43+$C44+$C45+$C46+C47)+$B$68*($C41+3*$C42+5*$C43+7*$C44+9*$C45+11*$C46+13*C47)</f>
        <v>17498941.9321215</v>
      </c>
      <c r="O56">
        <v>4</v>
      </c>
      <c r="P56" s="10">
        <v>0</v>
      </c>
    </row>
    <row r="57" spans="1:23" ht="15" thickBot="1" x14ac:dyDescent="0.35">
      <c r="A57" s="2">
        <v>7</v>
      </c>
      <c r="B57" s="3"/>
      <c r="C57" s="3"/>
      <c r="D57" s="3"/>
      <c r="E57" s="3"/>
      <c r="F57" s="3"/>
      <c r="G57" s="3"/>
      <c r="H57" s="6">
        <f>$G$56+$B$67+$B$65*($C42)+$B$68*($C42)</f>
        <v>9387600.7374982499</v>
      </c>
      <c r="I57" s="3">
        <f>$G$56+$B$67+$B$65*($C42+$C43)+$B$68*($C42+3*$C43)</f>
        <v>10938982.427778749</v>
      </c>
      <c r="J57" s="3">
        <f>$G$56+$B$67+$B$65*($C42+$C43+$C44)+$B$68*($C42+3*$C43+5*$C44)</f>
        <v>12641756.100541249</v>
      </c>
      <c r="K57" s="3">
        <f>$G$56+$B$67+$B$65*($C42+$C43+$C44+$C45)+$B$68*($C42+3*$C43+5*$C44+7*$C45)</f>
        <v>14417130.689980999</v>
      </c>
      <c r="L57" s="3">
        <f>$G$56+$B$67+$B$65*($C42+$C43+$C44+$C45+$C46)+$B$68*($C42+3*$C43+5*$C44+7*$C45+9*$C46)</f>
        <v>15819822.102242749</v>
      </c>
      <c r="M57" s="3">
        <f>$G$56+$B$67+$B$65*($C42+$C43+$C44+$C45+$C46+$C47)+$B$68*($C42+3*$C43+5*$C44+7*$C45+9*$C46+11*$C47)</f>
        <v>17346859.492591996</v>
      </c>
      <c r="O57">
        <v>4</v>
      </c>
      <c r="P57" s="9">
        <v>1478</v>
      </c>
    </row>
    <row r="58" spans="1:23" ht="15" thickBot="1" x14ac:dyDescent="0.35">
      <c r="A58" s="2">
        <v>8</v>
      </c>
      <c r="B58" s="3"/>
      <c r="C58" s="3"/>
      <c r="D58" s="3"/>
      <c r="E58" s="3"/>
      <c r="F58" s="3"/>
      <c r="G58" s="3"/>
      <c r="H58" s="3"/>
      <c r="I58" s="6">
        <f>$H$57+$B$67+$B$65*($C43)+$B$68*($C43)</f>
        <v>10913007.685191751</v>
      </c>
      <c r="J58" s="3">
        <f>$H$57+$B$67+$B$65*($C43+$C44)+$B$68*($C43+3*$C44)</f>
        <v>12587231.859249249</v>
      </c>
      <c r="K58" s="3">
        <f>$H$57+$B$67+$B$65*($C43+$C44+$C45)+$B$68*($C43+3*$C44+5*$C45)</f>
        <v>14333330.542620501</v>
      </c>
      <c r="L58" s="3">
        <f>$H$57+$B$67+$B$65*($C43+$C44+$C45+$C46)+$B$68*($C43+3*$C44+5*$C45+7*$C46)</f>
        <v>15713266.821890751</v>
      </c>
      <c r="M58" s="3">
        <f>$H$57+$B$67+$B$65*($C43+$C44+$C45+$C46+$C47)+$B$68*($C43+3*$C44+5*$C45+7*$C46+9*$C47)</f>
        <v>17215927.332576498</v>
      </c>
      <c r="O58">
        <v>5</v>
      </c>
      <c r="P58" s="10">
        <v>0</v>
      </c>
    </row>
    <row r="59" spans="1:23" ht="15" thickBot="1" x14ac:dyDescent="0.35">
      <c r="A59" s="2">
        <v>9</v>
      </c>
      <c r="B59" s="3"/>
      <c r="C59" s="3"/>
      <c r="D59" s="3"/>
      <c r="E59" s="3"/>
      <c r="F59" s="3"/>
      <c r="G59" s="3"/>
      <c r="H59" s="3"/>
      <c r="I59" s="3"/>
      <c r="J59" s="6">
        <f>$I$58+$B$67+$B$65*($C44)+$B$68*($C44)</f>
        <v>12559162.360544249</v>
      </c>
      <c r="K59" s="3">
        <f>$I$58+$B$67+$B$65*($C44+3*$C45)+$B$68*($C44+3*$C45)</f>
        <v>17621802.974246997</v>
      </c>
      <c r="L59" s="3">
        <f>$I$58+$B$67+$B$65*($C44+3*$C45+$C46)+$B$68*($C44+3*$C45+5*$C46)</f>
        <v>18978984.120525748</v>
      </c>
      <c r="M59" s="3">
        <f>$I$58+$B$67+$B$65*($C44+3*$C45+$C46+C47)+$B$68*($C44+3*$C45+5*$C46+7*C47)</f>
        <v>20457267.751548</v>
      </c>
      <c r="O59">
        <v>5</v>
      </c>
      <c r="P59" s="9">
        <v>1653</v>
      </c>
    </row>
    <row r="60" spans="1:23" ht="15" thickBot="1" x14ac:dyDescent="0.35">
      <c r="A60" s="2">
        <v>10</v>
      </c>
      <c r="B60" s="3"/>
      <c r="C60" s="3"/>
      <c r="D60" s="3"/>
      <c r="E60" s="3"/>
      <c r="F60" s="3"/>
      <c r="G60" s="3"/>
      <c r="H60" s="3"/>
      <c r="I60" s="3"/>
      <c r="J60" s="3"/>
      <c r="K60" s="6">
        <f>$J$59+$B$67+$B$65*($C45)+$B$68*($C45)</f>
        <v>14247189.231778499</v>
      </c>
      <c r="L60" s="3">
        <f>$J$59+$B$67+$B$65*($C45+$C46)+$B$68*($C45+3*$C46)</f>
        <v>15581615.245065751</v>
      </c>
      <c r="M60" s="3">
        <f>$J$59+$B$67+$B$65*($C45+$C46+C47)+$B$68*($C45+3*$C46+5*C47)</f>
        <v>17035521.996424496</v>
      </c>
      <c r="O60">
        <v>6</v>
      </c>
      <c r="P60" s="10">
        <v>0</v>
      </c>
    </row>
    <row r="61" spans="1:23" x14ac:dyDescent="0.3">
      <c r="A61" s="2">
        <v>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6">
        <f>$K$60+$B$67+$B$65*($C46)+$B$68*($C46)</f>
        <v>15559340.112074248</v>
      </c>
      <c r="M61" s="3">
        <f>$K$60+$B$67+$B$65*($C46+C47)+$B$68*($C46+3*C47)</f>
        <v>16988869.983769499</v>
      </c>
      <c r="O61">
        <v>6</v>
      </c>
      <c r="P61" s="18">
        <v>1252</v>
      </c>
    </row>
    <row r="62" spans="1:23" x14ac:dyDescent="0.3">
      <c r="A62" s="2">
        <v>12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6">
        <f>$L$61+$B$67+$B$65*($C47)+$B$68*($C47)</f>
        <v>16964973.104105998</v>
      </c>
      <c r="O62">
        <v>7</v>
      </c>
      <c r="P62">
        <v>0</v>
      </c>
    </row>
    <row r="63" spans="1:23" x14ac:dyDescent="0.3">
      <c r="A63" s="3" t="s">
        <v>10</v>
      </c>
      <c r="B63" s="7">
        <f t="shared" ref="B63:M63" si="0">MIN(B$51:B$62)</f>
        <v>1178744.1166725</v>
      </c>
      <c r="C63" s="7">
        <f t="shared" si="0"/>
        <v>2358462.0053422498</v>
      </c>
      <c r="D63" s="7">
        <f t="shared" si="0"/>
        <v>3671586.6576352497</v>
      </c>
      <c r="E63" s="7">
        <f t="shared" si="0"/>
        <v>5118118.0735514993</v>
      </c>
      <c r="F63" s="7">
        <f t="shared" si="0"/>
        <v>6557833.0854869997</v>
      </c>
      <c r="G63" s="7">
        <f t="shared" si="0"/>
        <v>8167958.1969412491</v>
      </c>
      <c r="H63" s="7">
        <f t="shared" si="0"/>
        <v>9387600.7374982499</v>
      </c>
      <c r="I63" s="7">
        <f t="shared" si="0"/>
        <v>10913007.685191751</v>
      </c>
      <c r="J63" s="7">
        <f t="shared" si="0"/>
        <v>12559162.360544249</v>
      </c>
      <c r="K63" s="7">
        <f t="shared" si="0"/>
        <v>14247189.231778499</v>
      </c>
      <c r="L63" s="7">
        <f t="shared" si="0"/>
        <v>15559340.112074248</v>
      </c>
      <c r="M63" s="7">
        <f t="shared" si="0"/>
        <v>16964973.104105998</v>
      </c>
      <c r="O63">
        <v>7</v>
      </c>
      <c r="P63">
        <v>1566</v>
      </c>
    </row>
    <row r="64" spans="1:23" x14ac:dyDescent="0.3">
      <c r="A64" s="3" t="s">
        <v>11</v>
      </c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3">
        <v>6</v>
      </c>
      <c r="H64" s="3">
        <v>7</v>
      </c>
      <c r="I64" s="3">
        <v>8</v>
      </c>
      <c r="J64" s="3">
        <v>9</v>
      </c>
      <c r="K64" s="3">
        <v>10</v>
      </c>
      <c r="L64" s="3">
        <v>11</v>
      </c>
      <c r="M64" s="3">
        <v>12</v>
      </c>
      <c r="O64">
        <v>8</v>
      </c>
      <c r="P64">
        <v>0</v>
      </c>
    </row>
    <row r="65" spans="1:27" x14ac:dyDescent="0.3">
      <c r="A65" s="3" t="s">
        <v>5</v>
      </c>
      <c r="B65">
        <v>965.32539999999995</v>
      </c>
      <c r="O65">
        <v>8</v>
      </c>
      <c r="P65">
        <v>1690</v>
      </c>
      <c r="X65" s="1"/>
      <c r="Y65" s="1"/>
      <c r="Z65" s="1"/>
      <c r="AA65" s="1"/>
    </row>
    <row r="66" spans="1:27" x14ac:dyDescent="0.3">
      <c r="A66" s="3" t="s">
        <v>6</v>
      </c>
      <c r="B66">
        <v>1.7500000000000002E-2</v>
      </c>
      <c r="I66" s="1" t="s">
        <v>7</v>
      </c>
      <c r="J66" s="1"/>
      <c r="K66" s="1"/>
      <c r="L66" s="1"/>
      <c r="M66" s="17">
        <f>M62</f>
        <v>16964973.104105998</v>
      </c>
      <c r="O66">
        <v>9</v>
      </c>
      <c r="P66">
        <v>0</v>
      </c>
    </row>
    <row r="67" spans="1:27" x14ac:dyDescent="0.3">
      <c r="A67" s="3" t="s">
        <v>9</v>
      </c>
      <c r="B67">
        <v>480</v>
      </c>
      <c r="O67">
        <v>9</v>
      </c>
      <c r="P67">
        <v>1733</v>
      </c>
    </row>
    <row r="68" spans="1:27" x14ac:dyDescent="0.3">
      <c r="A68" s="3" t="s">
        <v>8</v>
      </c>
      <c r="B68">
        <f>B65*B66 /2</f>
        <v>8.4465972499999999</v>
      </c>
      <c r="O68">
        <v>10</v>
      </c>
      <c r="P68">
        <v>0</v>
      </c>
    </row>
    <row r="69" spans="1:27" x14ac:dyDescent="0.3">
      <c r="O69">
        <v>10</v>
      </c>
      <c r="P69">
        <v>1347</v>
      </c>
    </row>
    <row r="70" spans="1:27" x14ac:dyDescent="0.3">
      <c r="O70">
        <v>11</v>
      </c>
      <c r="P70">
        <v>0</v>
      </c>
    </row>
    <row r="71" spans="1:27" x14ac:dyDescent="0.3">
      <c r="O71">
        <v>11</v>
      </c>
      <c r="P71">
        <v>1443</v>
      </c>
    </row>
    <row r="72" spans="1:27" x14ac:dyDescent="0.3">
      <c r="O72">
        <v>12</v>
      </c>
      <c r="P72">
        <v>0</v>
      </c>
    </row>
  </sheetData>
  <mergeCells count="2">
    <mergeCell ref="A49:A50"/>
    <mergeCell ref="B49:M49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A680-0942-4B08-B80A-EB4A48F14A7C}">
  <sheetPr codeName="Sheet3"/>
  <dimension ref="A18:AA72"/>
  <sheetViews>
    <sheetView topLeftCell="B28" workbookViewId="0">
      <selection activeCell="N99" sqref="N99"/>
    </sheetView>
  </sheetViews>
  <sheetFormatPr defaultRowHeight="14.4" x14ac:dyDescent="0.3"/>
  <cols>
    <col min="13" max="13" width="14.77734375" bestFit="1" customWidth="1"/>
    <col min="15" max="15" width="22.77734375" bestFit="1" customWidth="1"/>
    <col min="16" max="20" width="12" bestFit="1" customWidth="1"/>
    <col min="21" max="21" width="15.33203125" bestFit="1" customWidth="1"/>
    <col min="22" max="27" width="12" bestFit="1" customWidth="1"/>
  </cols>
  <sheetData>
    <row r="18" spans="2:3" x14ac:dyDescent="0.3">
      <c r="B18" s="5"/>
      <c r="C18" s="8">
        <v>29192</v>
      </c>
    </row>
    <row r="35" spans="1:21" x14ac:dyDescent="0.3">
      <c r="A35" s="3" t="s">
        <v>2</v>
      </c>
      <c r="B35" s="3" t="s">
        <v>3</v>
      </c>
      <c r="C35" s="3" t="s">
        <v>4</v>
      </c>
    </row>
    <row r="36" spans="1:21" ht="15" thickBot="1" x14ac:dyDescent="0.35">
      <c r="A36" s="3">
        <v>1</v>
      </c>
      <c r="B36" s="5">
        <v>45748</v>
      </c>
      <c r="C36" s="11">
        <v>1250</v>
      </c>
    </row>
    <row r="37" spans="1:21" ht="15" thickBot="1" x14ac:dyDescent="0.35">
      <c r="A37" s="3">
        <v>2</v>
      </c>
      <c r="B37" s="5">
        <v>45778</v>
      </c>
      <c r="C37" s="12">
        <v>1247</v>
      </c>
    </row>
    <row r="38" spans="1:21" ht="15" thickBot="1" x14ac:dyDescent="0.35">
      <c r="A38" s="3">
        <v>3</v>
      </c>
      <c r="B38" s="5">
        <v>45809</v>
      </c>
      <c r="C38" s="11">
        <v>1286</v>
      </c>
    </row>
    <row r="39" spans="1:21" ht="15" thickBot="1" x14ac:dyDescent="0.35">
      <c r="A39" s="3">
        <v>4</v>
      </c>
      <c r="B39" s="5">
        <v>45839</v>
      </c>
      <c r="C39" s="12">
        <v>1597</v>
      </c>
    </row>
    <row r="40" spans="1:21" ht="15" thickBot="1" x14ac:dyDescent="0.35">
      <c r="A40" s="3">
        <v>5</v>
      </c>
      <c r="B40" s="5">
        <v>45870</v>
      </c>
      <c r="C40" s="11">
        <v>1636</v>
      </c>
    </row>
    <row r="41" spans="1:21" ht="15" thickBot="1" x14ac:dyDescent="0.35">
      <c r="A41" s="3">
        <v>6</v>
      </c>
      <c r="B41" s="5">
        <v>45901</v>
      </c>
      <c r="C41" s="12">
        <v>1769</v>
      </c>
      <c r="P41" s="13"/>
      <c r="U41" s="14"/>
    </row>
    <row r="42" spans="1:21" ht="15" thickBot="1" x14ac:dyDescent="0.35">
      <c r="A42" s="3">
        <v>7</v>
      </c>
      <c r="B42" s="5">
        <v>45931</v>
      </c>
      <c r="C42" s="11">
        <v>1269</v>
      </c>
      <c r="P42" s="15"/>
      <c r="U42" s="16"/>
    </row>
    <row r="43" spans="1:21" ht="15" thickBot="1" x14ac:dyDescent="0.35">
      <c r="A43" s="3">
        <v>8</v>
      </c>
      <c r="B43" s="5">
        <v>45962</v>
      </c>
      <c r="C43" s="12">
        <v>1513</v>
      </c>
      <c r="U43" s="14"/>
    </row>
    <row r="44" spans="1:21" ht="15" thickBot="1" x14ac:dyDescent="0.35">
      <c r="A44" s="3">
        <v>9</v>
      </c>
      <c r="B44" s="5">
        <v>45992</v>
      </c>
      <c r="C44" s="11">
        <v>1327</v>
      </c>
    </row>
    <row r="45" spans="1:21" ht="15" thickBot="1" x14ac:dyDescent="0.35">
      <c r="A45" s="3">
        <v>10</v>
      </c>
      <c r="B45" s="5">
        <v>46023</v>
      </c>
      <c r="C45" s="12">
        <v>1354</v>
      </c>
    </row>
    <row r="46" spans="1:21" ht="15" thickBot="1" x14ac:dyDescent="0.35">
      <c r="A46" s="3">
        <v>11</v>
      </c>
      <c r="B46" s="5">
        <v>46054</v>
      </c>
      <c r="C46" s="11">
        <v>1639</v>
      </c>
    </row>
    <row r="47" spans="1:21" ht="15" thickBot="1" x14ac:dyDescent="0.35">
      <c r="A47" s="3">
        <v>12</v>
      </c>
      <c r="B47" s="5">
        <v>46082</v>
      </c>
      <c r="C47" s="12">
        <v>1724</v>
      </c>
    </row>
    <row r="48" spans="1:21" x14ac:dyDescent="0.3">
      <c r="O48" t="s">
        <v>14</v>
      </c>
      <c r="P48" t="s">
        <v>12</v>
      </c>
    </row>
    <row r="49" spans="1:23" ht="37.200000000000003" customHeight="1" thickBot="1" x14ac:dyDescent="0.35">
      <c r="A49" s="19" t="s">
        <v>13</v>
      </c>
      <c r="B49" s="20" t="s">
        <v>1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O49">
        <v>0</v>
      </c>
      <c r="P49" s="9">
        <v>1250</v>
      </c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19"/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</v>
      </c>
      <c r="P50" s="10">
        <v>0</v>
      </c>
    </row>
    <row r="51" spans="1:23" ht="15" thickBot="1" x14ac:dyDescent="0.35">
      <c r="A51" s="2">
        <v>1</v>
      </c>
      <c r="B51" s="4">
        <f>$B$67+$B$65*$C36+$B$68*$C36</f>
        <v>1248258.4823437501</v>
      </c>
      <c r="C51" s="3">
        <f>B67+B65*(C36+C37)+B68*(C36+3*C37)</f>
        <v>2514637.0589021253</v>
      </c>
      <c r="D51" s="3">
        <f>B67+B65*(C36+C37+C38)+B68*(C36+3*C37+5*C38)</f>
        <v>3842891.8416783754</v>
      </c>
      <c r="E51" s="3">
        <f>$B67+$B$65*($C36+$C37+$C38+$C39)+$B$68*($C36+3*$C37+5*$C38+7*$C39)</f>
        <v>5520021.1587749999</v>
      </c>
      <c r="F51" s="3">
        <f>$B67+$B$65*($C36+$C37+$C38+$C39+$C40)+$B$68*($C36+3*$C37+5*$C38+7*$C39+9*$C40)</f>
        <v>7266438.5171985002</v>
      </c>
      <c r="G51" s="3">
        <f>$B67+$B$65*($C36+$C37+$C38+$C39+$C40+$C41)+$B$68*($C36+3*$C37+5*$C38+7*$C39+9*$C40+11*$C41)</f>
        <v>9185466.7785401251</v>
      </c>
      <c r="H51" s="3">
        <f>$B67+$B$65*($C36+$C37+$C38+$C39+$C40+$C41+$C42)+$B$68*($C36+3*$C37+5*$C38+7*$C39+9*$C40+11*$C41+13*$C42)</f>
        <v>10584065.96232</v>
      </c>
      <c r="I51" s="3">
        <f>$B67+$B$65*($C36+$C37+$C38+$C39+$C40+$C41+$C42+$C43)+$B$68*($C36+3*$C37+5*$C38+7*$C39+9*$C40+11*$C41+13*$C42+15*$C43)</f>
        <v>12277785.321553126</v>
      </c>
      <c r="J51" s="3">
        <f>$B67+$B$65*($C36+$C37+$C38+$C39+$C40+$C41+$C42+$C43+$C44)+$B$68*($C36+3*$C37+5*$C38+7*$C39+9*$C40+11*$C41+13*$C42+15*$C43+17*$C44)</f>
        <v>13786268.176907251</v>
      </c>
      <c r="K51" s="3">
        <f>$B67+$B$65*($C36+$C37+$C38+$C39+$C40+$C41+$C42+$C43+$C44+$C45)+$B$68*($C36+3*$C37+5*$C38+7*$C39+9*$C40+11*$C41+13*$C42+15*$C43+17*$C44+19*$C45)</f>
        <v>15348891.3211275</v>
      </c>
      <c r="L51" s="3">
        <f>$B67+$B$65*($C36+$C37+$C38+$C39+$C40+$C41+$C42+$C43+$C44+$C45+$C46)+$B$68*($C36+3*$C37+5*$C38+7*$C39+9*$C40+11*$C41+13*$C42+15*$C43+17*$C44+19*$C45+21*$C46)</f>
        <v>17268810.190159127</v>
      </c>
      <c r="M51" s="3">
        <f>$B67+$B$65*($C36+$C37+$C38+$C39+$C40+$C41+$C42+$C43+$C44+$C45+$C46+$C47)+$B$68*($C36+3*$C37+5*$C38+7*$C39+9*$C40+11*$C41+13*$C42+15*$C43+17*$C44+19*$C45+21*$C46+23*$C47)</f>
        <v>19318152.910874624</v>
      </c>
      <c r="O51">
        <v>1</v>
      </c>
      <c r="P51" s="9">
        <v>1247</v>
      </c>
    </row>
    <row r="52" spans="1:23" ht="15" thickBot="1" x14ac:dyDescent="0.35">
      <c r="A52" s="2">
        <v>2</v>
      </c>
      <c r="B52" s="3"/>
      <c r="C52" s="6">
        <f>$B$51+$B$67+$B$65*$C37+$B$68*$C37</f>
        <v>2493522.296329875</v>
      </c>
      <c r="D52" s="3">
        <f>$B$51+$B$67+$B$65*($C37+$C38)+$B$68*($C37+3*$C38)</f>
        <v>3799506.9390356252</v>
      </c>
      <c r="E52" s="3">
        <f>$B$51+$B$67+$B$65*($C37+$C38+$C39)+$B$68*($C37+3*$C38+5*$C39)</f>
        <v>5448980.4134475002</v>
      </c>
      <c r="F52" s="3">
        <f>$B$51+$B$67+$B$65*($C37+$C38+$C39+$C40)+$B$68*($C37+3*$C38+5*$C39+7*$C40)</f>
        <v>7167066.5516880006</v>
      </c>
      <c r="G52" s="3">
        <f>$B$51+$B$67+$B$65*($C37+$C38+$C39+$C40+$C41)+$B$68*($C37+3*$C38+5*$C39+7*$C40+9*$C41)</f>
        <v>9055460.3824038748</v>
      </c>
      <c r="H52" s="3">
        <f>$B$51+$B$67+$B$65*($C37+$C38+$C39+$C40+$C41+$C42)+$B$68*($C37+3*$C38+5*$C39+7*$C40+9*$C41+11*$C42)</f>
        <v>10432083.821433</v>
      </c>
      <c r="I52" s="3">
        <f>$B$51+$B$67+$B$65*($C37+$C38+$C39+$C40+$C41+$C42+$C43)+$B$68*($C37+3*$C38+5*$C39+7*$C40+9*$C41+11*$C42+13*$C43)</f>
        <v>12099601.997208375</v>
      </c>
      <c r="J52" s="3">
        <f>$B$51+$B$67+$B$65*($C37+$C38+$C39+$C40+$C41+$C42+$C43+$C44)+$B$68*($C37+3*$C38+5*$C39+7*$C40+9*$C41+11*$C42+13*$C43+15*$C44)</f>
        <v>13585104.700250251</v>
      </c>
      <c r="K52" s="3">
        <f>$B$51+$B$67+$B$65*($C37+$C38+$C39+$C40+$C41+$C42+$C43+$C44+$C45)+$B$68*($C37+3*$C38+5*$C39+7*$C40+9*$C41+11*$C42+13*$C43+15*$C44+17*$C45)</f>
        <v>15124280.123121001</v>
      </c>
      <c r="L52" s="3">
        <f>$B$51+$B$67+$B$65*($C37+$C38+$C39+$C40+$C41+$C42+$C43+$C44+$C45+$C46)+$B$68*($C37+3*$C38+5*$C39+7*$C40+9*$C41+11*$C42+13*$C43+15*$C44+17*$C45+19*$C46)</f>
        <v>17015815.819854375</v>
      </c>
      <c r="M52" s="3">
        <f>$B$51+$B$67+$B$65*($C37+$C38+$C39+$C40+$C41+$C42+$C43+$C44+$C45+$C46+C47)+$B$68*($C37+3*$C38+5*$C39+7*$C40+9*$C41+11*$C42+13*$C43+15*$C44+17*$C45+19*$C46+21*C47)</f>
        <v>19035303.391672876</v>
      </c>
      <c r="O52">
        <v>2</v>
      </c>
      <c r="P52" s="10">
        <v>0</v>
      </c>
    </row>
    <row r="53" spans="1:23" ht="15" thickBot="1" x14ac:dyDescent="0.35">
      <c r="A53" s="2">
        <v>3</v>
      </c>
      <c r="B53" s="3"/>
      <c r="C53" s="3"/>
      <c r="D53" s="6">
        <f>$C$52+$B$67+$B$65*($C38)+$B$68*($C38)</f>
        <v>3777716.7989651253</v>
      </c>
      <c r="E53" s="3">
        <f>$C$52+$B$67+$B$65*($C38+$C39)+$B$68*($C38+3*$C39)</f>
        <v>5399534.4306922499</v>
      </c>
      <c r="F53" s="3">
        <f>$C$52+$B$67+$B$65*($C38+$C39+$C40)+$B$68*($C38+3*$C39+5*$C40)</f>
        <v>7089289.3487497512</v>
      </c>
      <c r="G53" s="3">
        <f>$C$52+$B$67+$B$65*($C38+$C39+$C40+$C41)+$B$68*($C38+3*$C39+5*$C40+7*$C41)</f>
        <v>8947048.7488398757</v>
      </c>
      <c r="H53" s="3">
        <f>$C$52+$B$67+$B$65*($C38+$C39+$C40+$C41+$C42)+$B$68*($C38+3*$C39+5*$C40+7*$C41+9*$C42)</f>
        <v>10301696.443118252</v>
      </c>
      <c r="I53" s="3">
        <f>$C$52+$B$67+$B$65*($C38+$C39+$C40+$C41+$C42+$C43)+$B$68*($C38+3*$C39+5*$C40+7*$C41+9*$C42+11*$C43)</f>
        <v>11943013.435435874</v>
      </c>
      <c r="J53" s="3">
        <f>$C$52+$B$67+$B$65*($C38+$C39+$C40+$C41+$C42+$C43+$C44)+$B$68*($C38+3*$C39+5*$C40+7*$C41+9*$C42+11*$C43+13*$C44)</f>
        <v>13405535.986165501</v>
      </c>
      <c r="K53" s="3">
        <f>$C$52+$B$67+$B$65*($C38+$C39+$C40+$C41+$C42+$C43+$C44+$C45)+$B$68*($C38+3*$C39+5*$C40+7*$C41+9*$C42+11*$C43+13*$C44+15*$C45)</f>
        <v>14921263.687686749</v>
      </c>
      <c r="L53" s="3">
        <f>$C$52+$B$67+$B$65*($C38+$C39+$C40+$C41+$C42+$C43+$C44+$C45+$C46)+$B$68*($C38+3*$C39+5*$C40+7*$C41+9*$C42+11*$C43+13*$C44+15*$C45+17*$C46)</f>
        <v>16784416.212121874</v>
      </c>
      <c r="M53" s="3">
        <f>$C$52+$B$67+$B$65*($C38+$C39+$C40+$C41+$C42+$C43+$C44+$C45+$C46+$C47)+$B$68*($C38+3*$C39+5*$C40+7*$C41+9*$C42+11*$C43+13*$C44+15*$C45+17*$C46+19*C47)</f>
        <v>18774048.635043379</v>
      </c>
      <c r="O53">
        <v>2</v>
      </c>
      <c r="P53" s="9">
        <v>1286</v>
      </c>
    </row>
    <row r="54" spans="1:23" ht="15" thickBot="1" x14ac:dyDescent="0.35">
      <c r="A54" s="2">
        <v>4</v>
      </c>
      <c r="B54" s="3"/>
      <c r="C54" s="3"/>
      <c r="D54" s="3"/>
      <c r="E54" s="6">
        <f>$D$53+$B$67+$B$65*($C39)+$B$68*($C39)</f>
        <v>5372358.5880075004</v>
      </c>
      <c r="F54" s="3">
        <f>$D$53+$B$67+$B$65*($C39+$C40)+$B$68*($C39+3*$C40)</f>
        <v>7033782.2858819999</v>
      </c>
      <c r="G54" s="3">
        <f>$D$53+$B$67+$B$65*($C39+$C40+$C41)+$B$68*($C39+3*$C40+5*$C41)</f>
        <v>8860907.2553463746</v>
      </c>
      <c r="H54" s="3">
        <f>$D$53+$B$67+$B$65*($C39+$C40+$C41+$C42)+$B$68*($C39+3*$C40+5*$C41+7*$C42)</f>
        <v>10193579.204874</v>
      </c>
      <c r="I54" s="3">
        <f>$D$53+$B$67+$B$65*($C39+$C40+$C41+$C42+$C43)+$B$68*($C39+3*$C40+5*$C41+7*$C42+9*$C43)</f>
        <v>11808695.013733875</v>
      </c>
      <c r="J54" s="3">
        <f>$D$53+$B$67+$B$65*($C39+$C40+$C41+$C42+$C43+$C44)+$B$68*($C39+3*$C40+5*$C41+7*$C42+9*$C43+11*$C44)</f>
        <v>13248237.412151249</v>
      </c>
      <c r="K54" s="3">
        <f>$D$53+$B$67+$B$65*($C39+$C40+$C41+$C42+$C43+$C44+$C45)+$B$68*($C39+3*$C40+5*$C41+7*$C42+9*$C43+11*$C44+13*$C45)</f>
        <v>14740517.392323</v>
      </c>
      <c r="L54" s="3">
        <f>$D$53+$B$67+$B$65*($C39+$C40+$C41+$C42+$C43+$C44+$C45+$C46)+$B$68*($C39+3*$C40+5*$C41+7*$C42+9*$C43+11*$C44+13*$C45+15*$C46)</f>
        <v>16575286.744459877</v>
      </c>
      <c r="M54" s="3">
        <f>$D$53+$B$67+$B$65*($C39+$C40+$C41+$C42+$C43+$C44+$C45+$C46+C47)+$B$68*($C39+3*$C40+5*$C41+7*$C42+9*$C43+11*$C44+13*$C45+15*$C46+17*C47)</f>
        <v>18535064.018484376</v>
      </c>
      <c r="O54">
        <v>3</v>
      </c>
      <c r="P54" s="10">
        <v>0</v>
      </c>
    </row>
    <row r="55" spans="1:23" ht="15" thickBot="1" x14ac:dyDescent="0.35">
      <c r="A55" s="2">
        <v>5</v>
      </c>
      <c r="B55" s="3"/>
      <c r="C55" s="3"/>
      <c r="D55" s="3"/>
      <c r="E55" s="3"/>
      <c r="F55" s="6">
        <f>$E$54+$B$67+$B$65*($C40)+$B$68*($C40)</f>
        <v>7005931.0656989999</v>
      </c>
      <c r="G55" s="3">
        <f>$E$54+$B$67+$B$65*($C40+$C41)+$B$68*($C40+3*$C41)</f>
        <v>8802421.6045376267</v>
      </c>
      <c r="H55" s="3">
        <f>$E$54+$B$67+$B$65*($C40+$C41+$C42)+$B$68*($C40+3*$C41+5*$C42)</f>
        <v>10113117.809314502</v>
      </c>
      <c r="I55" s="3">
        <f>$E$54+$B$67+$B$65*($C40+$C41+$C42+$C43)+$B$68*($C40+3*$C41+5*$C42+7*$C43)</f>
        <v>11702032.434716625</v>
      </c>
      <c r="J55" s="3">
        <f>$E$54+$B$67+$B$65*($C40+$C41+$C42+$C43+$C44)+$B$68*($C40+3*$C41+5*$C42+7*$C43+9*$C44)</f>
        <v>13118594.680821752</v>
      </c>
      <c r="K55" s="3">
        <f>$E$54+$B$67+$B$65*($C40+$C41+$C42+$C43+$C44+$C45)+$B$68*($C40+3*$C41+5*$C42+7*$C43+9*$C44+11*$C45)</f>
        <v>14587426.939644</v>
      </c>
      <c r="L55" s="3">
        <f>$E$54+$B$67+$B$65*($C40+$C41+$C42+$C43+$C44+$C45+$C46)+$B$68*($C40+3*$C41+5*$C42+7*$C43+9*$C44+11*$C45+13*$C46)</f>
        <v>16393813.119482625</v>
      </c>
      <c r="M55" s="3">
        <f>$E$54+$B$67+$B$65*($C40+$C41+$C42+$C43+$C44+$C45+$C46+C47)+$B$68*($C40+3*$C41+5*$C42+7*$C43+9*$C44+11*$C45+13*$C46+15*$C47)</f>
        <v>18323735.244610127</v>
      </c>
      <c r="O55">
        <v>3</v>
      </c>
      <c r="P55" s="9">
        <v>1597</v>
      </c>
    </row>
    <row r="56" spans="1:23" ht="15" thickBot="1" x14ac:dyDescent="0.35">
      <c r="A56" s="2">
        <v>6</v>
      </c>
      <c r="B56" s="3"/>
      <c r="C56" s="3"/>
      <c r="D56" s="3"/>
      <c r="E56" s="3"/>
      <c r="F56" s="3"/>
      <c r="G56" s="6">
        <f>$F$55+$B$67+$B$65*$C41+$B$68*$C41</f>
        <v>8772267.1739118751</v>
      </c>
      <c r="H56" s="3">
        <f>$F$55+$B$67+$B$65*($C41+$C42)+$B$68*($C41+3*$C42)</f>
        <v>10060987.633938</v>
      </c>
      <c r="I56" s="3">
        <f>$F$55+$B$67+$B$65*($C41+$C42+$C43)+$B$68*($C41+3*$C42+5*$C43)</f>
        <v>11623701.075882375</v>
      </c>
      <c r="J56" s="3">
        <f>$F$55+$B$67+$B$65*($C41+$C42+$C43+$C44)+$B$68*($C41+3*$C42+5*$C43+7*$C44)</f>
        <v>13017283.169675251</v>
      </c>
      <c r="K56" s="3">
        <f>$F$55+$B$67+$B$65*($C41+$C42+$C43+$C44+$C45)+$B$68*($C41+3*$C42+5*$C43+7*$C44+9*$C45)</f>
        <v>14462667.707148001</v>
      </c>
      <c r="L56" s="3">
        <f>$F$55+$B$67+$B$65*($C41+$C42+$C43+$C44+$C45+$C46)+$B$68*($C41+3*$C42+5*$C43+7*$C44+9*$C45+11*$C46)</f>
        <v>16240670.714688376</v>
      </c>
      <c r="M56" s="3">
        <f>$F$55+$B$67+$B$65*($C41+$C42+$C43+$C44+$C45+$C46+C47)+$B$68*($C41+3*$C42+5*$C43+7*$C44+9*$C45+11*$C46+13*C47)</f>
        <v>18140737.690918878</v>
      </c>
      <c r="O56">
        <v>4</v>
      </c>
      <c r="P56" s="10">
        <v>0</v>
      </c>
    </row>
    <row r="57" spans="1:23" ht="15" thickBot="1" x14ac:dyDescent="0.35">
      <c r="A57" s="2">
        <v>7</v>
      </c>
      <c r="B57" s="3"/>
      <c r="C57" s="3"/>
      <c r="D57" s="3"/>
      <c r="E57" s="3"/>
      <c r="F57" s="3"/>
      <c r="G57" s="3"/>
      <c r="H57" s="6">
        <f>$G$56+$B$67+$B$65*($C42)+$B$68*($C42)</f>
        <v>10039491.88918725</v>
      </c>
      <c r="I57" s="3">
        <f>$G$56+$B$67+$B$65*($C42+$C43)+$B$68*($C42+3*$C43)</f>
        <v>11576004.147673875</v>
      </c>
      <c r="J57" s="3">
        <f>$G$56+$B$67+$B$65*($C42+$C43+$C44)+$B$68*($C42+3*$C43+5*$C44)</f>
        <v>12946606.089154501</v>
      </c>
      <c r="K57" s="3">
        <f>$G$56+$B$67+$B$65*($C42+$C43+$C44+$C45)+$B$68*($C42+3*$C43+5*$C44+7*$C45)</f>
        <v>14368542.905277751</v>
      </c>
      <c r="L57" s="3">
        <f>$G$56+$B$67+$B$65*($C42+$C43+$C44+$C45+$C46)+$B$68*($C42+3*$C43+5*$C44+7*$C45+9*$C46)</f>
        <v>16118162.740519874</v>
      </c>
      <c r="M57" s="3">
        <f>$G$56+$B$67+$B$65*($C42+$C43+$C44+$C45+$C46+$C47)+$B$68*($C42+3*$C43+5*$C44+7*$C45+9*$C46+11*$C47)</f>
        <v>17988374.567853376</v>
      </c>
      <c r="O57">
        <v>4</v>
      </c>
      <c r="P57" s="9">
        <v>1636</v>
      </c>
    </row>
    <row r="58" spans="1:23" ht="15" thickBot="1" x14ac:dyDescent="0.35">
      <c r="A58" s="2">
        <v>8</v>
      </c>
      <c r="B58" s="3"/>
      <c r="C58" s="3"/>
      <c r="D58" s="3"/>
      <c r="E58" s="3"/>
      <c r="F58" s="3"/>
      <c r="G58" s="3"/>
      <c r="H58" s="3"/>
      <c r="I58" s="6">
        <f>$H$57+$B$67+$B$65*($C43)+$B$68*($C43)</f>
        <v>11550282.964216126</v>
      </c>
      <c r="J58" s="3">
        <f>$H$57+$B$67+$B$65*($C43+$C44)+$B$68*($C43+3*$C44)</f>
        <v>12897904.753384501</v>
      </c>
      <c r="K58" s="3">
        <f>$H$57+$B$67+$B$65*($C43+$C44+$C45)+$B$68*($C43+3*$C44+5*$C45)</f>
        <v>14296393.84815825</v>
      </c>
      <c r="L58" s="3">
        <f>$H$57+$B$67+$B$65*($C43+$C44+$C45+$C46)+$B$68*($C43+3*$C44+5*$C45+7*$C46)</f>
        <v>16017630.511102127</v>
      </c>
      <c r="M58" s="3">
        <f>$H$57+$B$67+$B$65*($C43+$C44+$C45+$C46+$C47)+$B$68*($C43+3*$C44+5*$C45+7*$C46+9*$C47)</f>
        <v>17857987.189538628</v>
      </c>
      <c r="O58">
        <v>5</v>
      </c>
      <c r="P58" s="10">
        <v>0</v>
      </c>
    </row>
    <row r="59" spans="1:23" ht="15" thickBot="1" x14ac:dyDescent="0.35">
      <c r="A59" s="2">
        <v>9</v>
      </c>
      <c r="B59" s="3"/>
      <c r="C59" s="3"/>
      <c r="D59" s="3"/>
      <c r="E59" s="3"/>
      <c r="F59" s="3"/>
      <c r="G59" s="3"/>
      <c r="H59" s="3"/>
      <c r="I59" s="3"/>
      <c r="J59" s="6">
        <f>$I$58+$B$67+$B$65*($C44)+$B$68*($C44)</f>
        <v>12875404.60107225</v>
      </c>
      <c r="K59" s="3">
        <f>$I$58+$B$67+$B$65*($C44+3*$C45)+$B$68*($C44+3*$C45)</f>
        <v>16930185.557296503</v>
      </c>
      <c r="L59" s="3">
        <f>$I$58+$B$67+$B$65*($C44+3*$C45+$C46)+$B$68*($C44+3*$C45+5*$C46)</f>
        <v>18623039.047942124</v>
      </c>
      <c r="M59" s="3">
        <f>$I$58+$B$67+$B$65*($C44+3*$C45+$C46+C47)+$B$68*($C44+3*$C45+5*$C46+7*C47)</f>
        <v>20433540.577481627</v>
      </c>
      <c r="O59">
        <v>5</v>
      </c>
      <c r="P59" s="9">
        <v>1769</v>
      </c>
    </row>
    <row r="60" spans="1:23" ht="15" thickBot="1" x14ac:dyDescent="0.35">
      <c r="A60" s="2">
        <v>10</v>
      </c>
      <c r="B60" s="3"/>
      <c r="C60" s="3"/>
      <c r="D60" s="3"/>
      <c r="E60" s="3"/>
      <c r="F60" s="3"/>
      <c r="G60" s="3"/>
      <c r="H60" s="3"/>
      <c r="I60" s="3"/>
      <c r="J60" s="3"/>
      <c r="K60" s="6">
        <f>$J$59+$B$67+$B$65*($C45)+$B$68*($C45)</f>
        <v>14227478.253147</v>
      </c>
      <c r="L60" s="3">
        <f>$J$59+$B$67+$B$65*($C45+$C46)+$B$68*($C45+3*$C46)</f>
        <v>15891948.571494374</v>
      </c>
      <c r="M60" s="3">
        <f>$J$59+$B$67+$B$65*($C45+$C46+C47)+$B$68*($C45+3*$C46+5*C47)</f>
        <v>17672594.952136874</v>
      </c>
      <c r="O60">
        <v>6</v>
      </c>
      <c r="P60" s="10">
        <v>0</v>
      </c>
    </row>
    <row r="61" spans="1:23" x14ac:dyDescent="0.3">
      <c r="A61" s="2">
        <v>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6">
        <f>$K$60+$B$67+$B$65*($C46)+$B$68*($C46)</f>
        <v>15864045.399196126</v>
      </c>
      <c r="M61" s="3">
        <f>$K$60+$B$67+$B$65*($C46+C47)+$B$68*($C46+3*C47)</f>
        <v>17614836.630941626</v>
      </c>
      <c r="O61">
        <v>6</v>
      </c>
      <c r="P61" s="18">
        <v>1269</v>
      </c>
    </row>
    <row r="62" spans="1:23" x14ac:dyDescent="0.3">
      <c r="A62" s="2">
        <v>12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6">
        <f>$L$61+$B$67+$B$65*($C47)+$B$68*($C47)</f>
        <v>17585461.482044626</v>
      </c>
      <c r="O62">
        <v>7</v>
      </c>
      <c r="P62">
        <v>0</v>
      </c>
    </row>
    <row r="63" spans="1:23" x14ac:dyDescent="0.3">
      <c r="A63" s="3" t="s">
        <v>10</v>
      </c>
      <c r="B63" s="7">
        <f t="shared" ref="B63:M63" si="0">MIN(B$51:B$62)</f>
        <v>1248258.4823437501</v>
      </c>
      <c r="C63" s="7">
        <f t="shared" si="0"/>
        <v>2493522.296329875</v>
      </c>
      <c r="D63" s="7">
        <f t="shared" si="0"/>
        <v>3777716.7989651253</v>
      </c>
      <c r="E63" s="7">
        <f t="shared" si="0"/>
        <v>5372358.5880075004</v>
      </c>
      <c r="F63" s="7">
        <f t="shared" si="0"/>
        <v>7005931.0656989999</v>
      </c>
      <c r="G63" s="7">
        <f t="shared" si="0"/>
        <v>8772267.1739118751</v>
      </c>
      <c r="H63" s="7">
        <f t="shared" si="0"/>
        <v>10039491.88918725</v>
      </c>
      <c r="I63" s="7">
        <f t="shared" si="0"/>
        <v>11550282.964216126</v>
      </c>
      <c r="J63" s="7">
        <f t="shared" si="0"/>
        <v>12875404.60107225</v>
      </c>
      <c r="K63" s="7">
        <f t="shared" si="0"/>
        <v>14227478.253147</v>
      </c>
      <c r="L63" s="7">
        <f t="shared" si="0"/>
        <v>15864045.399196126</v>
      </c>
      <c r="M63" s="7">
        <f t="shared" si="0"/>
        <v>17585461.482044626</v>
      </c>
      <c r="O63">
        <v>7</v>
      </c>
      <c r="P63">
        <v>1513</v>
      </c>
    </row>
    <row r="64" spans="1:23" x14ac:dyDescent="0.3">
      <c r="A64" s="3" t="s">
        <v>11</v>
      </c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3">
        <v>6</v>
      </c>
      <c r="H64" s="3">
        <v>7</v>
      </c>
      <c r="I64" s="3">
        <v>8</v>
      </c>
      <c r="J64" s="3">
        <v>9</v>
      </c>
      <c r="K64" s="3">
        <v>10</v>
      </c>
      <c r="L64" s="3">
        <v>11</v>
      </c>
      <c r="M64" s="3">
        <v>12</v>
      </c>
      <c r="O64">
        <v>8</v>
      </c>
      <c r="P64">
        <v>0</v>
      </c>
    </row>
    <row r="65" spans="1:27" x14ac:dyDescent="0.3">
      <c r="A65" s="3" t="s">
        <v>5</v>
      </c>
      <c r="B65">
        <v>989.56410000000005</v>
      </c>
      <c r="O65">
        <v>8</v>
      </c>
      <c r="P65">
        <v>1327</v>
      </c>
      <c r="X65" s="1"/>
      <c r="Y65" s="1"/>
      <c r="Z65" s="1"/>
      <c r="AA65" s="1"/>
    </row>
    <row r="66" spans="1:27" x14ac:dyDescent="0.3">
      <c r="A66" s="3" t="s">
        <v>6</v>
      </c>
      <c r="B66">
        <v>1.7500000000000002E-2</v>
      </c>
      <c r="I66" s="1" t="s">
        <v>7</v>
      </c>
      <c r="J66" s="1"/>
      <c r="K66" s="1"/>
      <c r="L66" s="1"/>
      <c r="M66" s="17">
        <f>M62</f>
        <v>17585461.482044626</v>
      </c>
      <c r="O66">
        <v>9</v>
      </c>
      <c r="P66">
        <v>0</v>
      </c>
    </row>
    <row r="67" spans="1:27" x14ac:dyDescent="0.3">
      <c r="A67" s="3" t="s">
        <v>9</v>
      </c>
      <c r="B67">
        <v>480</v>
      </c>
      <c r="O67">
        <v>9</v>
      </c>
      <c r="P67">
        <v>1354</v>
      </c>
    </row>
    <row r="68" spans="1:27" x14ac:dyDescent="0.3">
      <c r="A68" s="3" t="s">
        <v>8</v>
      </c>
      <c r="B68">
        <f>B65*B66 /2</f>
        <v>8.6586858750000015</v>
      </c>
      <c r="O68">
        <v>10</v>
      </c>
      <c r="P68">
        <v>0</v>
      </c>
    </row>
    <row r="69" spans="1:27" x14ac:dyDescent="0.3">
      <c r="O69">
        <v>10</v>
      </c>
      <c r="P69">
        <v>1639</v>
      </c>
    </row>
    <row r="70" spans="1:27" x14ac:dyDescent="0.3">
      <c r="O70">
        <v>11</v>
      </c>
      <c r="P70">
        <v>0</v>
      </c>
    </row>
    <row r="71" spans="1:27" x14ac:dyDescent="0.3">
      <c r="O71">
        <v>11</v>
      </c>
      <c r="P71">
        <v>1724</v>
      </c>
    </row>
    <row r="72" spans="1:27" x14ac:dyDescent="0.3">
      <c r="O72">
        <v>12</v>
      </c>
      <c r="P72">
        <v>0</v>
      </c>
    </row>
  </sheetData>
  <mergeCells count="2">
    <mergeCell ref="A49:A50"/>
    <mergeCell ref="B49:M49"/>
  </mergeCell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87E7-DC2D-4389-B746-767A8C505D55}">
  <sheetPr codeName="Sheet4"/>
  <dimension ref="A18:AA72"/>
  <sheetViews>
    <sheetView topLeftCell="A70" workbookViewId="0">
      <selection activeCell="M71" sqref="M71"/>
    </sheetView>
  </sheetViews>
  <sheetFormatPr defaultRowHeight="14.4" x14ac:dyDescent="0.3"/>
  <cols>
    <col min="13" max="13" width="14.77734375" bestFit="1" customWidth="1"/>
    <col min="15" max="15" width="22.77734375" bestFit="1" customWidth="1"/>
    <col min="16" max="20" width="12" bestFit="1" customWidth="1"/>
    <col min="21" max="21" width="15.33203125" bestFit="1" customWidth="1"/>
    <col min="22" max="27" width="12" bestFit="1" customWidth="1"/>
  </cols>
  <sheetData>
    <row r="18" spans="2:3" x14ac:dyDescent="0.3">
      <c r="B18" s="5"/>
      <c r="C18" s="8">
        <v>29192</v>
      </c>
    </row>
    <row r="35" spans="1:21" x14ac:dyDescent="0.3">
      <c r="A35" s="3" t="s">
        <v>2</v>
      </c>
      <c r="B35" s="3" t="s">
        <v>3</v>
      </c>
      <c r="C35" s="3" t="s">
        <v>4</v>
      </c>
    </row>
    <row r="36" spans="1:21" ht="15" thickBot="1" x14ac:dyDescent="0.35">
      <c r="A36" s="3">
        <v>1</v>
      </c>
      <c r="B36" s="5">
        <v>45748</v>
      </c>
      <c r="C36" s="11">
        <v>1235</v>
      </c>
    </row>
    <row r="37" spans="1:21" ht="15" thickBot="1" x14ac:dyDescent="0.35">
      <c r="A37" s="3">
        <v>2</v>
      </c>
      <c r="B37" s="5">
        <v>45778</v>
      </c>
      <c r="C37" s="12">
        <v>1230</v>
      </c>
    </row>
    <row r="38" spans="1:21" ht="15" thickBot="1" x14ac:dyDescent="0.35">
      <c r="A38" s="3">
        <v>3</v>
      </c>
      <c r="B38" s="5">
        <v>45809</v>
      </c>
      <c r="C38" s="11">
        <v>1339</v>
      </c>
    </row>
    <row r="39" spans="1:21" ht="15" thickBot="1" x14ac:dyDescent="0.35">
      <c r="A39" s="3">
        <v>4</v>
      </c>
      <c r="B39" s="5">
        <v>45839</v>
      </c>
      <c r="C39" s="12">
        <v>1321</v>
      </c>
    </row>
    <row r="40" spans="1:21" ht="15" thickBot="1" x14ac:dyDescent="0.35">
      <c r="A40" s="3">
        <v>5</v>
      </c>
      <c r="B40" s="5">
        <v>45870</v>
      </c>
      <c r="C40" s="11">
        <v>1376</v>
      </c>
    </row>
    <row r="41" spans="1:21" ht="15" thickBot="1" x14ac:dyDescent="0.35">
      <c r="A41" s="3">
        <v>6</v>
      </c>
      <c r="B41" s="5">
        <v>45901</v>
      </c>
      <c r="C41" s="12">
        <v>1527</v>
      </c>
      <c r="P41" s="13"/>
      <c r="U41" s="14"/>
    </row>
    <row r="42" spans="1:21" ht="15" thickBot="1" x14ac:dyDescent="0.35">
      <c r="A42" s="3">
        <v>7</v>
      </c>
      <c r="B42" s="5">
        <v>45931</v>
      </c>
      <c r="C42" s="11">
        <v>1136</v>
      </c>
      <c r="P42" s="15"/>
      <c r="U42" s="16"/>
    </row>
    <row r="43" spans="1:21" ht="15" thickBot="1" x14ac:dyDescent="0.35">
      <c r="A43" s="3">
        <v>8</v>
      </c>
      <c r="B43" s="5">
        <v>45962</v>
      </c>
      <c r="C43" s="12">
        <v>1177</v>
      </c>
      <c r="U43" s="14"/>
    </row>
    <row r="44" spans="1:21" ht="15" thickBot="1" x14ac:dyDescent="0.35">
      <c r="A44" s="3">
        <v>9</v>
      </c>
      <c r="B44" s="5">
        <v>45992</v>
      </c>
      <c r="C44" s="11">
        <v>1348</v>
      </c>
    </row>
    <row r="45" spans="1:21" ht="15" thickBot="1" x14ac:dyDescent="0.35">
      <c r="A45" s="3">
        <v>10</v>
      </c>
      <c r="B45" s="5">
        <v>46023</v>
      </c>
      <c r="C45" s="12">
        <v>1377</v>
      </c>
    </row>
    <row r="46" spans="1:21" ht="15" thickBot="1" x14ac:dyDescent="0.35">
      <c r="A46" s="3">
        <v>11</v>
      </c>
      <c r="B46" s="5">
        <v>46054</v>
      </c>
      <c r="C46" s="11">
        <v>1228</v>
      </c>
    </row>
    <row r="47" spans="1:21" ht="15" thickBot="1" x14ac:dyDescent="0.35">
      <c r="A47" s="3">
        <v>12</v>
      </c>
      <c r="B47" s="5">
        <v>46082</v>
      </c>
      <c r="C47" s="12">
        <v>1294</v>
      </c>
    </row>
    <row r="48" spans="1:21" x14ac:dyDescent="0.3">
      <c r="O48" t="s">
        <v>14</v>
      </c>
      <c r="P48" t="s">
        <v>12</v>
      </c>
    </row>
    <row r="49" spans="1:23" ht="37.200000000000003" customHeight="1" thickBot="1" x14ac:dyDescent="0.35">
      <c r="A49" s="19" t="s">
        <v>13</v>
      </c>
      <c r="B49" s="20" t="s">
        <v>1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O49">
        <v>0</v>
      </c>
      <c r="P49" s="9">
        <v>1235</v>
      </c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19"/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</v>
      </c>
      <c r="P50" s="10">
        <v>0</v>
      </c>
    </row>
    <row r="51" spans="1:23" ht="15" thickBot="1" x14ac:dyDescent="0.35">
      <c r="A51" s="2">
        <v>1</v>
      </c>
      <c r="B51" s="4">
        <f>$B$67+$B$65*$C36+$B$68*$C36</f>
        <v>1438546.5453375001</v>
      </c>
      <c r="C51" s="3">
        <f>B67+B65*(C36+C37)+B68*(C36+3*C37)</f>
        <v>2895637.8260625</v>
      </c>
      <c r="D51" s="3">
        <f>B67+B65*(C36+C37+C38)+B68*(C36+3*C37+5*C38)</f>
        <v>4508902.2000500001</v>
      </c>
      <c r="E51" s="3">
        <f>$B67+$B$65*($C36+$C37+$C38+$C39)+$B$68*($C36+3*$C37+5*$C38+7*$C39)</f>
        <v>6127164.8056175001</v>
      </c>
      <c r="F51" s="3">
        <f>$B67+$B$65*($C36+$C37+$C38+$C39+$C40)+$B$68*($C36+3*$C37+5*$C38+7*$C39+9*$C40)</f>
        <v>7840600.1469775001</v>
      </c>
      <c r="G51" s="3">
        <f>$B67+$B$65*($C36+$C37+$C38+$C39+$C40+$C41)+$B$68*($C36+3*$C37+5*$C38+7*$C39+9*$C40+11*$C41)</f>
        <v>9772911.5699199997</v>
      </c>
      <c r="H51" s="3">
        <f>$B67+$B$65*($C36+$C37+$C38+$C39+$C40+$C41+$C42)+$B$68*($C36+3*$C37+5*$C38+7*$C39+9*$C40+11*$C41+13*$C42)</f>
        <v>11233387.91164</v>
      </c>
      <c r="I51" s="3">
        <f>$B67+$B$65*($C36+$C37+$C38+$C39+$C40+$C41+$C42+$C43)+$B$68*($C36+3*$C37+5*$C38+7*$C39+9*$C40+11*$C41+13*$C42+15*$C43)</f>
        <v>12770351.337027501</v>
      </c>
      <c r="J51" s="3">
        <f>$B67+$B$65*($C36+$C37+$C38+$C39+$C40+$C41+$C42+$C43+$C44)+$B$68*($C36+3*$C37+5*$C38+7*$C39+9*$C40+11*$C41+13*$C42+15*$C43+17*$C44)</f>
        <v>14557842.462917499</v>
      </c>
      <c r="K51" s="3">
        <f>$B67+$B$65*($C36+$C37+$C38+$C39+$C40+$C41+$C42+$C43+$C44+$C45)+$B$68*($C36+3*$C37+5*$C38+7*$C39+9*$C40+11*$C41+13*$C42+15*$C43+17*$C44+19*$C45)</f>
        <v>16411604.887375001</v>
      </c>
      <c r="L51" s="3">
        <f>$B67+$B$65*($C36+$C37+$C38+$C39+$C40+$C41+$C42+$C43+$C44+$C45+$C46)+$B$68*($C36+3*$C37+5*$C38+7*$C39+9*$C40+11*$C41+13*$C42+15*$C43+17*$C44+19*$C45+21*$C46)</f>
        <v>18089585.105645001</v>
      </c>
      <c r="M51" s="3">
        <f>$B67+$B$65*($C36+$C37+$C38+$C39+$C40+$C41+$C42+$C43+$C44+$C45+$C46+$C47)+$B$68*($C36+3*$C37+5*$C38+7*$C39+9*$C40+11*$C41+13*$C42+15*$C43+17*$C44+19*$C45+21*$C46+23*$C47)</f>
        <v>19883889.640750002</v>
      </c>
      <c r="O51">
        <v>1</v>
      </c>
      <c r="P51" s="9">
        <v>1230</v>
      </c>
    </row>
    <row r="52" spans="1:23" ht="15" thickBot="1" x14ac:dyDescent="0.35">
      <c r="A52" s="2">
        <v>2</v>
      </c>
      <c r="B52" s="3"/>
      <c r="C52" s="6">
        <f>$B$51+$B$67+$B$65*$C37+$B$68*$C37</f>
        <v>2871270.9589125002</v>
      </c>
      <c r="D52" s="3">
        <f>$B$51+$B$67+$B$65*($C37+$C38)+$B$68*($C37+3*$C38)</f>
        <v>4457486.5889050001</v>
      </c>
      <c r="E52" s="3">
        <f>$B$51+$B$67+$B$65*($C37+$C38+$C39)+$B$68*($C37+3*$C38+5*$C39)</f>
        <v>6049064.0631674994</v>
      </c>
      <c r="F52" s="3">
        <f>$B$51+$B$67+$B$65*($C37+$C38+$C39+$C40)+$B$68*($C37+3*$C38+5*$C39+7*$C40)</f>
        <v>7734703.2344474997</v>
      </c>
      <c r="G52" s="3">
        <f>$B$51+$B$67+$B$65*($C37+$C38+$C39+$C40+$C41)+$B$68*($C37+3*$C38+5*$C39+7*$C40+9*$C41)</f>
        <v>9636168.1808550004</v>
      </c>
      <c r="H52" s="3">
        <f>$B$51+$B$67+$B$65*($C37+$C38+$C39+$C40+$C41+$C42)+$B$68*($C37+3*$C38+5*$C39+7*$C40+9*$C41+11*$C42)</f>
        <v>11073696.521695001</v>
      </c>
      <c r="I52" s="3">
        <f>$B$51+$B$67+$B$65*($C37+$C38+$C39+$C40+$C41+$C42+$C43)+$B$68*($C37+3*$C38+5*$C39+7*$C40+9*$C41+11*$C42+13*$C43)</f>
        <v>12586883.7172975</v>
      </c>
      <c r="J52" s="3">
        <f>$B$51+$B$67+$B$65*($C37+$C38+$C39+$C40+$C41+$C42+$C43+$C44)+$B$68*($C37+3*$C38+5*$C39+7*$C40+9*$C41+11*$C42+13*$C43+15*$C44)</f>
        <v>14347144.292847501</v>
      </c>
      <c r="K52" s="3">
        <f>$B$51+$B$67+$B$65*($C37+$C38+$C39+$C40+$C41+$C42+$C43+$C44+$C45)+$B$68*($C37+3*$C38+5*$C39+7*$C40+9*$C41+11*$C42+13*$C43+15*$C44+17*$C45)</f>
        <v>16173090.346519999</v>
      </c>
      <c r="L52" s="3">
        <f>$B$51+$B$67+$B$65*($C37+$C38+$C39+$C40+$C41+$C42+$C43+$C44+$C45+$C46)+$B$68*($C37+3*$C38+5*$C39+7*$C40+9*$C41+11*$C42+13*$C43+15*$C44+17*$C45+19*$C46)</f>
        <v>17826264.09905</v>
      </c>
      <c r="M52" s="3">
        <f>$B$51+$B$67+$B$65*($C37+$C38+$C39+$C40+$C41+$C42+$C43+$C44+$C45+$C46+C47)+$B$68*($C37+3*$C38+5*$C39+7*$C40+9*$C41+11*$C42+13*$C43+15*$C44+17*$C45+19*$C46+21*C47)</f>
        <v>19594428.921884999</v>
      </c>
      <c r="O52">
        <v>2</v>
      </c>
      <c r="P52" s="10">
        <v>0</v>
      </c>
    </row>
    <row r="53" spans="1:23" ht="15" thickBot="1" x14ac:dyDescent="0.35">
      <c r="A53" s="2">
        <v>3</v>
      </c>
      <c r="B53" s="3"/>
      <c r="C53" s="3"/>
      <c r="D53" s="6">
        <f>$C$52+$B$67+$B$65*($C38)+$B$68*($C38)</f>
        <v>4430917.8449099995</v>
      </c>
      <c r="E53" s="3">
        <f>$C$52+$B$67+$B$65*($C38+$C39)+$B$68*($C38+3*$C39)</f>
        <v>5995810.1878674999</v>
      </c>
      <c r="F53" s="3">
        <f>$C$52+$B$67+$B$65*($C38+$C39+$C40)+$B$68*($C38+3*$C39+5*$C40)</f>
        <v>7653653.1890675006</v>
      </c>
      <c r="G53" s="3">
        <f>$C$52+$B$67+$B$65*($C38+$C39+$C40+$C41)+$B$68*($C38+3*$C39+5*$C40+7*$C41)</f>
        <v>9524271.6589400005</v>
      </c>
      <c r="H53" s="3">
        <f>$C$52+$B$67+$B$65*($C38+$C39+$C40+$C41+$C42)+$B$68*($C38+3*$C39+5*$C40+7*$C41+9*$C42)</f>
        <v>10938851.998900002</v>
      </c>
      <c r="I53" s="3">
        <f>$C$52+$B$67+$B$65*($C38+$C39+$C40+$C41+$C42+$C43)+$B$68*($C38+3*$C39+5*$C40+7*$C41+9*$C42+11*$C43)</f>
        <v>12428262.9647175</v>
      </c>
      <c r="J53" s="3">
        <f>$C$52+$B$67+$B$65*($C38+$C39+$C40+$C41+$C42+$C43+$C44)+$B$68*($C38+3*$C39+5*$C40+7*$C41+9*$C42+11*$C43+13*$C44)</f>
        <v>14161292.9899275</v>
      </c>
      <c r="K53" s="3">
        <f>$C$52+$B$67+$B$65*($C38+$C39+$C40+$C41+$C42+$C43+$C44+$C45)+$B$68*($C38+3*$C39+5*$C40+7*$C41+9*$C42+11*$C43+13*$C44+15*$C45)</f>
        <v>15959422.672815003</v>
      </c>
      <c r="L53" s="3">
        <f>$C$52+$B$67+$B$65*($C38+$C39+$C40+$C41+$C42+$C43+$C44+$C45+$C46)+$B$68*($C38+3*$C39+5*$C40+7*$C41+9*$C42+11*$C43+13*$C44+15*$C45+17*$C46)</f>
        <v>17587789.959605001</v>
      </c>
      <c r="M53" s="3">
        <f>$C$52+$B$67+$B$65*($C38+$C39+$C40+$C41+$C42+$C43+$C44+$C45+$C46+$C47)+$B$68*($C38+3*$C39+5*$C40+7*$C41+9*$C42+11*$C43+13*$C44+15*$C45+17*$C46+19*C47)</f>
        <v>19329815.07017</v>
      </c>
      <c r="O53">
        <v>2</v>
      </c>
      <c r="P53" s="9">
        <v>1339</v>
      </c>
    </row>
    <row r="54" spans="1:23" ht="15" thickBot="1" x14ac:dyDescent="0.35">
      <c r="A54" s="2">
        <v>4</v>
      </c>
      <c r="B54" s="3"/>
      <c r="C54" s="3"/>
      <c r="D54" s="3"/>
      <c r="E54" s="6">
        <f>$D$53+$B$67+$B$65*($C39)+$B$68*($C39)</f>
        <v>5969605.0565624991</v>
      </c>
      <c r="F54" s="3">
        <f>$D$53+$B$67+$B$65*($C39+$C40)+$B$68*($C39+3*$C40)</f>
        <v>7599651.8876824994</v>
      </c>
      <c r="G54" s="3">
        <f>$D$53+$B$67+$B$65*($C39+$C40+$C41)+$B$68*($C39+3*$C40+5*$C41)</f>
        <v>9439423.8810200002</v>
      </c>
      <c r="H54" s="3">
        <f>$D$53+$B$67+$B$65*($C39+$C40+$C41+$C42)+$B$68*($C39+3*$C40+5*$C41+7*$C42)</f>
        <v>10831056.220099999</v>
      </c>
      <c r="I54" s="3">
        <f>$D$53+$B$67+$B$65*($C39+$C40+$C41+$C42+$C43)+$B$68*($C39+3*$C40+5*$C41+7*$C42+9*$C43)</f>
        <v>12296690.956132498</v>
      </c>
      <c r="J54" s="3">
        <f>$D$53+$B$67+$B$65*($C39+$C40+$C41+$C42+$C43+$C44)+$B$68*($C39+3*$C40+5*$C41+7*$C42+9*$C43+11*$C44)</f>
        <v>14002490.4310025</v>
      </c>
      <c r="K54" s="3">
        <f>$D$53+$B$67+$B$65*($C39+$C40+$C41+$C42+$C43+$C44+$C45)+$B$68*($C39+3*$C40+5*$C41+7*$C42+9*$C43+11*$C44+13*$C45)</f>
        <v>15772803.743105</v>
      </c>
      <c r="L54" s="3">
        <f>$D$53+$B$67+$B$65*($C39+$C40+$C41+$C42+$C43+$C44+$C45+$C46)+$B$68*($C39+3*$C40+5*$C41+7*$C42+9*$C43+11*$C44+13*$C45+15*$C46)</f>
        <v>17376364.564155001</v>
      </c>
      <c r="M54" s="3">
        <f>$D$53+$B$67+$B$65*($C39+$C40+$C41+$C42+$C43+$C44+$C45+$C46+C47)+$B$68*($C39+3*$C40+5*$C41+7*$C42+9*$C43+11*$C44+13*$C45+15*$C46+17*C47)</f>
        <v>19092249.962450001</v>
      </c>
      <c r="O54">
        <v>3</v>
      </c>
      <c r="P54" s="10">
        <v>0</v>
      </c>
    </row>
    <row r="55" spans="1:23" ht="15" thickBot="1" x14ac:dyDescent="0.35">
      <c r="A55" s="2">
        <v>5</v>
      </c>
      <c r="B55" s="3"/>
      <c r="C55" s="3"/>
      <c r="D55" s="3"/>
      <c r="E55" s="3"/>
      <c r="F55" s="6">
        <f>$E$54+$B$67+$B$65*($C40)+$B$68*($C40)</f>
        <v>7572335.7176024998</v>
      </c>
      <c r="G55" s="3">
        <f>$E$54+$B$67+$B$65*($C40+$C41)+$B$68*($C40+3*$C41)</f>
        <v>9381261.2344049979</v>
      </c>
      <c r="H55" s="3">
        <f>$E$54+$B$67+$B$65*($C40+$C41+$C42)+$B$68*($C40+3*$C41+5*$C42)</f>
        <v>10749945.572604999</v>
      </c>
      <c r="I55" s="3">
        <f>$E$54+$B$67+$B$65*($C40+$C41+$C42+$C43)+$B$68*($C40+3*$C41+5*$C42+7*$C43)</f>
        <v>12191804.078852499</v>
      </c>
      <c r="J55" s="3">
        <f>$E$54+$B$67+$B$65*($C40+$C41+$C42+$C43+$C44)+$B$68*($C40+3*$C41+5*$C42+7*$C43+9*$C44)</f>
        <v>13870373.003382498</v>
      </c>
      <c r="K55" s="3">
        <f>$E$54+$B$67+$B$65*($C40+$C41+$C42+$C43+$C44+$C45)+$B$68*($C40+3*$C41+5*$C42+7*$C43+9*$C44+11*$C45)</f>
        <v>15612869.944700001</v>
      </c>
      <c r="L55" s="3">
        <f>$E$54+$B$67+$B$65*($C40+$C41+$C42+$C43+$C44+$C45+$C46)+$B$68*($C40+3*$C41+5*$C42+7*$C43+9*$C44+11*$C45+13*$C46)</f>
        <v>17191624.300009999</v>
      </c>
      <c r="M55" s="3">
        <f>$E$54+$B$67+$B$65*($C40+$C41+$C42+$C43+$C44+$C45+$C46+C47)+$B$68*($C40+3*$C41+5*$C42+7*$C43+9*$C44+11*$C45+13*$C46+15*$C47)</f>
        <v>18881369.986035001</v>
      </c>
      <c r="O55">
        <v>3</v>
      </c>
      <c r="P55" s="9">
        <v>1321</v>
      </c>
    </row>
    <row r="56" spans="1:23" ht="15" thickBot="1" x14ac:dyDescent="0.35">
      <c r="A56" s="2">
        <v>6</v>
      </c>
      <c r="B56" s="3"/>
      <c r="C56" s="3"/>
      <c r="D56" s="3"/>
      <c r="E56" s="3"/>
      <c r="F56" s="3"/>
      <c r="G56" s="6">
        <f>$F$55+$B$67+$B$65*$C41+$B$68*$C41</f>
        <v>9350894.7578699999</v>
      </c>
      <c r="H56" s="3">
        <f>$F$55+$B$67+$B$65*($C41+$C42)+$B$68*($C41+3*$C42)</f>
        <v>10696631.09519</v>
      </c>
      <c r="I56" s="3">
        <f>$F$55+$B$67+$B$65*($C41+$C42+$C43)+$B$68*($C41+3*$C42+5*$C43)</f>
        <v>12114713.371652499</v>
      </c>
      <c r="J56" s="3">
        <f>$F$55+$B$67+$B$65*($C41+$C42+$C43+$C44)+$B$68*($C41+3*$C42+5*$C43+7*$C44)</f>
        <v>13766051.7458425</v>
      </c>
      <c r="K56" s="3">
        <f>$F$55+$B$67+$B$65*($C41+$C42+$C43+$C44+$C45)+$B$68*($C41+3*$C42+5*$C43+7*$C44+9*$C45)</f>
        <v>15480732.316375</v>
      </c>
      <c r="L56" s="3">
        <f>$F$55+$B$67+$B$65*($C41+$C42+$C43+$C44+$C45+$C46)+$B$68*($C41+3*$C42+5*$C43+7*$C44+9*$C45+11*$C46)</f>
        <v>17034680.205945</v>
      </c>
      <c r="M56" s="3">
        <f>$F$55+$B$67+$B$65*($C41+$C42+$C43+$C44+$C45+$C46+C47)+$B$68*($C41+3*$C42+5*$C43+7*$C44+9*$C45+11*$C46+13*C47)</f>
        <v>18698286.179699998</v>
      </c>
      <c r="O56">
        <v>4</v>
      </c>
      <c r="P56" s="10">
        <v>0</v>
      </c>
    </row>
    <row r="57" spans="1:23" ht="15" thickBot="1" x14ac:dyDescent="0.35">
      <c r="A57" s="2">
        <v>7</v>
      </c>
      <c r="B57" s="3"/>
      <c r="C57" s="3"/>
      <c r="D57" s="3"/>
      <c r="E57" s="3"/>
      <c r="F57" s="3"/>
      <c r="G57" s="3"/>
      <c r="H57" s="6">
        <f>$G$56+$B$67+$B$65*($C42)+$B$68*($C42)</f>
        <v>10674163.094309999</v>
      </c>
      <c r="I57" s="3">
        <f>$G$56+$B$67+$B$65*($C42+$C43)+$B$68*($C42+3*$C43)</f>
        <v>12068469.140987501</v>
      </c>
      <c r="J57" s="3">
        <f>$G$56+$B$67+$B$65*($C42+$C43+$C44)+$B$68*($C42+3*$C43+5*$C44)</f>
        <v>13692576.964837501</v>
      </c>
      <c r="K57" s="3">
        <f>$G$56+$B$67+$B$65*($C42+$C43+$C44+$C45)+$B$68*($C42+3*$C43+5*$C44+7*$C45)</f>
        <v>15379441.164585</v>
      </c>
      <c r="L57" s="3">
        <f>$G$56+$B$67+$B$65*($C42+$C43+$C44+$C45+$C46)+$B$68*($C42+3*$C43+5*$C44+7*$C45+9*$C46)</f>
        <v>16908582.588415001</v>
      </c>
      <c r="M57" s="3">
        <f>$G$56+$B$67+$B$65*($C42+$C43+$C44+$C45+$C46+$C47)+$B$68*($C42+3*$C43+5*$C44+7*$C45+9*$C46+11*$C47)</f>
        <v>18546048.8499</v>
      </c>
      <c r="O57">
        <v>4</v>
      </c>
      <c r="P57" s="9">
        <v>1376</v>
      </c>
    </row>
    <row r="58" spans="1:23" ht="15" thickBot="1" x14ac:dyDescent="0.35">
      <c r="A58" s="2">
        <v>8</v>
      </c>
      <c r="B58" s="3"/>
      <c r="C58" s="3"/>
      <c r="D58" s="3"/>
      <c r="E58" s="3"/>
      <c r="F58" s="3"/>
      <c r="G58" s="3"/>
      <c r="H58" s="3"/>
      <c r="I58" s="6">
        <f>$H$57+$B$67+$B$65*($C43)+$B$68*($C43)</f>
        <v>12045172.911202498</v>
      </c>
      <c r="J58" s="3">
        <f>$H$57+$B$67+$B$65*($C43+$C44)+$B$68*($C43+3*$C44)</f>
        <v>13642050.184712499</v>
      </c>
      <c r="K58" s="3">
        <f>$H$57+$B$67+$B$65*($C43+$C44+$C45)+$B$68*($C43+3*$C44+5*$C45)</f>
        <v>15301098.013674999</v>
      </c>
      <c r="L58" s="3">
        <f>$H$57+$B$67+$B$65*($C43+$C44+$C45+$C46)+$B$68*($C43+3*$C44+5*$C45+7*$C46)</f>
        <v>16805432.971765</v>
      </c>
      <c r="M58" s="3">
        <f>$H$57+$B$67+$B$65*($C43+$C44+$C45+$C46+$C47)+$B$68*($C43+3*$C44+5*$C45+7*$C46+9*$C47)</f>
        <v>18416759.52098</v>
      </c>
      <c r="O58">
        <v>5</v>
      </c>
      <c r="P58" s="10">
        <v>0</v>
      </c>
    </row>
    <row r="59" spans="1:23" ht="15" thickBot="1" x14ac:dyDescent="0.35">
      <c r="A59" s="2">
        <v>9</v>
      </c>
      <c r="B59" s="3"/>
      <c r="C59" s="3"/>
      <c r="D59" s="3"/>
      <c r="E59" s="3"/>
      <c r="F59" s="3"/>
      <c r="G59" s="3"/>
      <c r="H59" s="3"/>
      <c r="I59" s="3"/>
      <c r="J59" s="6">
        <f>$I$58+$B$67+$B$65*($C44)+$B$68*($C44)</f>
        <v>13615299.634372499</v>
      </c>
      <c r="K59" s="3">
        <f>$I$58+$B$67+$B$65*($C44+3*$C45)+$B$68*($C44+3*$C45)</f>
        <v>18425544.896549996</v>
      </c>
      <c r="L59" s="3">
        <f>$I$58+$B$67+$B$65*($C44+3*$C45+$C46)+$B$68*($C44+3*$C45+5*$C46)</f>
        <v>19905073.388899997</v>
      </c>
      <c r="M59" s="3">
        <f>$I$58+$B$67+$B$65*($C44+3*$C45+$C46+C47)+$B$68*($C44+3*$C45+5*$C46+7*C47)</f>
        <v>21490260.225844994</v>
      </c>
      <c r="O59">
        <v>5</v>
      </c>
      <c r="P59" s="9">
        <v>1527</v>
      </c>
    </row>
    <row r="60" spans="1:23" ht="15" thickBot="1" x14ac:dyDescent="0.35">
      <c r="A60" s="2">
        <v>10</v>
      </c>
      <c r="B60" s="3"/>
      <c r="C60" s="3"/>
      <c r="D60" s="3"/>
      <c r="E60" s="3"/>
      <c r="F60" s="3"/>
      <c r="G60" s="3"/>
      <c r="H60" s="3"/>
      <c r="I60" s="3"/>
      <c r="J60" s="3"/>
      <c r="K60" s="6">
        <f>$J$59+$B$67+$B$65*($C45)+$B$68*($C45)</f>
        <v>15219194.721765</v>
      </c>
      <c r="L60" s="3">
        <f>$J$59+$B$67+$B$65*($C45+$C46)+$B$68*($C45+3*$C46)</f>
        <v>16673916.748374999</v>
      </c>
      <c r="M60" s="3">
        <f>$J$59+$B$67+$B$65*($C45+$C46+C47)+$B$68*($C45+3*$C46+5*C47)</f>
        <v>18232963.873050001</v>
      </c>
      <c r="O60">
        <v>6</v>
      </c>
      <c r="P60" s="10">
        <v>0</v>
      </c>
    </row>
    <row r="61" spans="1:23" x14ac:dyDescent="0.3">
      <c r="A61" s="2">
        <v>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6">
        <f>$K$60+$B$67+$B$65*($C46)+$B$68*($C46)</f>
        <v>16649590.282635</v>
      </c>
      <c r="M61" s="3">
        <f>$K$60+$B$67+$B$65*($C46+C47)+$B$68*($C46+3*C47)</f>
        <v>18182497.695040002</v>
      </c>
      <c r="O61">
        <v>6</v>
      </c>
      <c r="P61" s="18">
        <v>1136</v>
      </c>
    </row>
    <row r="62" spans="1:23" x14ac:dyDescent="0.3">
      <c r="A62" s="2">
        <v>12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6">
        <f>$L$61+$B$67+$B$65*($C47)+$B$68*($C47)</f>
        <v>18156837.98277</v>
      </c>
      <c r="O62">
        <v>7</v>
      </c>
      <c r="P62">
        <v>0</v>
      </c>
    </row>
    <row r="63" spans="1:23" x14ac:dyDescent="0.3">
      <c r="A63" s="3" t="s">
        <v>10</v>
      </c>
      <c r="B63" s="7">
        <f t="shared" ref="B63:M63" si="0">MIN(B$51:B$62)</f>
        <v>1438546.5453375001</v>
      </c>
      <c r="C63" s="7">
        <f t="shared" si="0"/>
        <v>2871270.9589125002</v>
      </c>
      <c r="D63" s="7">
        <f t="shared" si="0"/>
        <v>4430917.8449099995</v>
      </c>
      <c r="E63" s="7">
        <f t="shared" si="0"/>
        <v>5969605.0565624991</v>
      </c>
      <c r="F63" s="7">
        <f t="shared" si="0"/>
        <v>7572335.7176024998</v>
      </c>
      <c r="G63" s="7">
        <f t="shared" si="0"/>
        <v>9350894.7578699999</v>
      </c>
      <c r="H63" s="7">
        <f t="shared" si="0"/>
        <v>10674163.094309999</v>
      </c>
      <c r="I63" s="7">
        <f t="shared" si="0"/>
        <v>12045172.911202498</v>
      </c>
      <c r="J63" s="7">
        <f t="shared" si="0"/>
        <v>13615299.634372499</v>
      </c>
      <c r="K63" s="7">
        <f t="shared" si="0"/>
        <v>15219194.721765</v>
      </c>
      <c r="L63" s="7">
        <f t="shared" si="0"/>
        <v>16649590.282635</v>
      </c>
      <c r="M63" s="7">
        <f t="shared" si="0"/>
        <v>18156837.98277</v>
      </c>
      <c r="O63">
        <v>7</v>
      </c>
      <c r="P63">
        <v>1177</v>
      </c>
    </row>
    <row r="64" spans="1:23" x14ac:dyDescent="0.3">
      <c r="A64" s="3" t="s">
        <v>11</v>
      </c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3">
        <v>6</v>
      </c>
      <c r="H64" s="3">
        <v>7</v>
      </c>
      <c r="I64" s="3">
        <v>8</v>
      </c>
      <c r="J64" s="3">
        <v>9</v>
      </c>
      <c r="K64" s="3">
        <v>10</v>
      </c>
      <c r="L64" s="3">
        <v>11</v>
      </c>
      <c r="M64" s="3">
        <v>12</v>
      </c>
      <c r="O64">
        <v>8</v>
      </c>
      <c r="P64">
        <v>0</v>
      </c>
    </row>
    <row r="65" spans="1:27" x14ac:dyDescent="0.3">
      <c r="A65" s="3" t="s">
        <v>5</v>
      </c>
      <c r="B65">
        <v>1154.326</v>
      </c>
      <c r="O65">
        <v>8</v>
      </c>
      <c r="P65">
        <v>1348</v>
      </c>
      <c r="X65" s="1"/>
      <c r="Y65" s="1"/>
      <c r="Z65" s="1"/>
      <c r="AA65" s="1"/>
    </row>
    <row r="66" spans="1:27" x14ac:dyDescent="0.3">
      <c r="A66" s="3" t="s">
        <v>6</v>
      </c>
      <c r="B66">
        <v>1.7500000000000002E-2</v>
      </c>
      <c r="I66" s="1" t="s">
        <v>7</v>
      </c>
      <c r="J66" s="1"/>
      <c r="K66" s="1"/>
      <c r="L66" s="1"/>
      <c r="M66" s="17">
        <f>M62</f>
        <v>18156837.98277</v>
      </c>
      <c r="O66">
        <v>9</v>
      </c>
      <c r="P66">
        <v>0</v>
      </c>
    </row>
    <row r="67" spans="1:27" x14ac:dyDescent="0.3">
      <c r="A67" s="3" t="s">
        <v>9</v>
      </c>
      <c r="B67">
        <v>480</v>
      </c>
      <c r="O67">
        <v>9</v>
      </c>
      <c r="P67">
        <v>1377</v>
      </c>
    </row>
    <row r="68" spans="1:27" x14ac:dyDescent="0.3">
      <c r="A68" s="3" t="s">
        <v>8</v>
      </c>
      <c r="B68">
        <f>B65*B66 /2</f>
        <v>10.100352500000001</v>
      </c>
      <c r="O68">
        <v>10</v>
      </c>
      <c r="P68">
        <v>0</v>
      </c>
    </row>
    <row r="69" spans="1:27" x14ac:dyDescent="0.3">
      <c r="O69">
        <v>10</v>
      </c>
      <c r="P69">
        <v>1228</v>
      </c>
    </row>
    <row r="70" spans="1:27" x14ac:dyDescent="0.3">
      <c r="O70">
        <v>11</v>
      </c>
      <c r="P70">
        <v>0</v>
      </c>
    </row>
    <row r="71" spans="1:27" x14ac:dyDescent="0.3">
      <c r="O71">
        <v>11</v>
      </c>
      <c r="P71">
        <v>1294</v>
      </c>
    </row>
    <row r="72" spans="1:27" x14ac:dyDescent="0.3">
      <c r="O72">
        <v>12</v>
      </c>
      <c r="P72">
        <v>0</v>
      </c>
    </row>
  </sheetData>
  <mergeCells count="2">
    <mergeCell ref="A49:A50"/>
    <mergeCell ref="B49:M49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DCD2-EFD4-4719-A927-E65543D9484F}">
  <sheetPr codeName="Sheet5"/>
  <dimension ref="A18:AA72"/>
  <sheetViews>
    <sheetView topLeftCell="D72" zoomScale="113" workbookViewId="0">
      <selection activeCell="M68" sqref="M68"/>
    </sheetView>
  </sheetViews>
  <sheetFormatPr defaultRowHeight="14.4" x14ac:dyDescent="0.3"/>
  <cols>
    <col min="1" max="5" width="9" bestFit="1" customWidth="1"/>
    <col min="6" max="12" width="11.5546875" bestFit="1" customWidth="1"/>
    <col min="13" max="13" width="15.44140625" bestFit="1" customWidth="1"/>
    <col min="15" max="15" width="22.88671875" bestFit="1" customWidth="1"/>
    <col min="16" max="16" width="12.109375" bestFit="1" customWidth="1"/>
    <col min="17" max="20" width="12" bestFit="1" customWidth="1"/>
    <col min="21" max="21" width="15.33203125" bestFit="1" customWidth="1"/>
    <col min="22" max="27" width="12" bestFit="1" customWidth="1"/>
  </cols>
  <sheetData>
    <row r="18" spans="2:3" x14ac:dyDescent="0.3">
      <c r="B18" s="5"/>
      <c r="C18" s="8">
        <v>29192</v>
      </c>
    </row>
    <row r="35" spans="1:21" x14ac:dyDescent="0.3">
      <c r="A35" s="3" t="s">
        <v>2</v>
      </c>
      <c r="B35" s="3" t="s">
        <v>3</v>
      </c>
      <c r="C35" s="3" t="s">
        <v>4</v>
      </c>
    </row>
    <row r="36" spans="1:21" ht="15" thickBot="1" x14ac:dyDescent="0.35">
      <c r="A36" s="3">
        <v>1</v>
      </c>
      <c r="B36" s="5">
        <v>45748</v>
      </c>
      <c r="C36" s="9">
        <v>1187</v>
      </c>
    </row>
    <row r="37" spans="1:21" ht="15" thickBot="1" x14ac:dyDescent="0.35">
      <c r="A37" s="3">
        <v>2</v>
      </c>
      <c r="B37" s="5">
        <v>45778</v>
      </c>
      <c r="C37" s="10">
        <v>1230</v>
      </c>
    </row>
    <row r="38" spans="1:21" ht="15" thickBot="1" x14ac:dyDescent="0.35">
      <c r="A38" s="3">
        <v>3</v>
      </c>
      <c r="B38" s="5">
        <v>45809</v>
      </c>
      <c r="C38" s="9">
        <v>1167</v>
      </c>
    </row>
    <row r="39" spans="1:21" ht="15" thickBot="1" x14ac:dyDescent="0.35">
      <c r="A39" s="3">
        <v>4</v>
      </c>
      <c r="B39" s="5">
        <v>45839</v>
      </c>
      <c r="C39" s="10">
        <v>1481</v>
      </c>
    </row>
    <row r="40" spans="1:21" ht="15" thickBot="1" x14ac:dyDescent="0.35">
      <c r="A40" s="3">
        <v>5</v>
      </c>
      <c r="B40" s="5">
        <v>45870</v>
      </c>
      <c r="C40" s="9">
        <v>1598</v>
      </c>
    </row>
    <row r="41" spans="1:21" ht="15" thickBot="1" x14ac:dyDescent="0.35">
      <c r="A41" s="3">
        <v>6</v>
      </c>
      <c r="B41" s="5">
        <v>45901</v>
      </c>
      <c r="C41" s="10">
        <v>1735</v>
      </c>
      <c r="P41" s="13"/>
      <c r="U41" s="14"/>
    </row>
    <row r="42" spans="1:21" ht="15" thickBot="1" x14ac:dyDescent="0.35">
      <c r="A42" s="3">
        <v>7</v>
      </c>
      <c r="B42" s="5">
        <v>45931</v>
      </c>
      <c r="C42" s="9">
        <v>1219</v>
      </c>
      <c r="P42" s="15"/>
      <c r="U42" s="16"/>
    </row>
    <row r="43" spans="1:21" ht="15" thickBot="1" x14ac:dyDescent="0.35">
      <c r="A43" s="3">
        <v>8</v>
      </c>
      <c r="B43" s="5">
        <v>45962</v>
      </c>
      <c r="C43" s="10">
        <v>1312</v>
      </c>
      <c r="U43" s="14"/>
    </row>
    <row r="44" spans="1:21" ht="15" thickBot="1" x14ac:dyDescent="0.35">
      <c r="A44" s="3">
        <v>9</v>
      </c>
      <c r="B44" s="5">
        <v>45992</v>
      </c>
      <c r="C44" s="9">
        <v>1658</v>
      </c>
    </row>
    <row r="45" spans="1:21" ht="15" thickBot="1" x14ac:dyDescent="0.35">
      <c r="A45" s="3">
        <v>10</v>
      </c>
      <c r="B45" s="5">
        <v>46023</v>
      </c>
      <c r="C45" s="10">
        <v>1578</v>
      </c>
    </row>
    <row r="46" spans="1:21" ht="15" thickBot="1" x14ac:dyDescent="0.35">
      <c r="A46" s="3">
        <v>11</v>
      </c>
      <c r="B46" s="5">
        <v>46054</v>
      </c>
      <c r="C46" s="9">
        <v>1433</v>
      </c>
    </row>
    <row r="47" spans="1:21" ht="15" thickBot="1" x14ac:dyDescent="0.35">
      <c r="A47" s="3">
        <v>12</v>
      </c>
      <c r="B47" s="5">
        <v>46082</v>
      </c>
      <c r="C47" s="10">
        <v>1494</v>
      </c>
    </row>
    <row r="48" spans="1:21" x14ac:dyDescent="0.3">
      <c r="O48" t="s">
        <v>14</v>
      </c>
      <c r="P48" t="s">
        <v>12</v>
      </c>
    </row>
    <row r="49" spans="1:23" ht="37.200000000000003" customHeight="1" thickBot="1" x14ac:dyDescent="0.35">
      <c r="A49" s="19" t="s">
        <v>13</v>
      </c>
      <c r="B49" s="20" t="s">
        <v>1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O49">
        <v>0</v>
      </c>
      <c r="P49" s="9">
        <v>1187</v>
      </c>
      <c r="Q49" s="1"/>
      <c r="R49" s="1"/>
      <c r="S49" s="1"/>
      <c r="T49" s="1"/>
      <c r="U49" s="1"/>
      <c r="V49" s="1"/>
      <c r="W49" s="1"/>
    </row>
    <row r="50" spans="1:23" ht="15" thickBot="1" x14ac:dyDescent="0.35">
      <c r="A50" s="19"/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</v>
      </c>
      <c r="P50" s="10">
        <v>0</v>
      </c>
    </row>
    <row r="51" spans="1:23" ht="15" thickBot="1" x14ac:dyDescent="0.35">
      <c r="A51" s="2">
        <v>1</v>
      </c>
      <c r="B51" s="4">
        <f>$B$67+$B$65*$C36+$B$68*$C36</f>
        <v>1721423.3878124999</v>
      </c>
      <c r="C51" s="3">
        <f>B67+B65*(C36+C37)+B68*(C36+3*C37)</f>
        <v>3535646.0971875</v>
      </c>
      <c r="D51" s="3">
        <f>B67+B65*(C36+C37+C38)+B68*(C36+3*C37+5*C38)</f>
        <v>5286297.4424999999</v>
      </c>
      <c r="E51" s="3">
        <f>$B67+$B$65*($C36+$C37+$C38+$C39)+$B$68*($C36+3*$C37+5*$C38+7*$C39)</f>
        <v>7545239.4365625</v>
      </c>
      <c r="F51" s="3">
        <f>$B67+$B$65*($C36+$C37+$C38+$C39+$C40)+$B$68*($C36+3*$C37+5*$C38+7*$C39+9*$C40)</f>
        <v>10022832.069687501</v>
      </c>
      <c r="G51" s="3">
        <f>$B67+$B$65*($C36+$C37+$C38+$C39+$C40+$C41)+$B$68*($C36+3*$C37+5*$C38+7*$C39+9*$C40+11*$C41)</f>
        <v>12756472.586875001</v>
      </c>
      <c r="H51" s="3">
        <f>$B67+$B$65*($C36+$C37+$C38+$C39+$C40+$C41+$C42)+$B$68*($C36+3*$C37+5*$C38+7*$C39+9*$C40+11*$C41+13*$C42)</f>
        <v>14707771.2184375</v>
      </c>
      <c r="I51" s="3">
        <f>$B67+$B$65*($C36+$C37+$C38+$C39+$C40+$C41+$C42+$C43)+$B$68*($C36+3*$C37+5*$C38+7*$C39+9*$C40+11*$C41+13*$C42+15*$C43)</f>
        <v>16840937.6684375</v>
      </c>
      <c r="J51" s="3">
        <f>$B67+$B$65*($C36+$C37+$C38+$C39+$C40+$C41+$C42+$C43+$C44)+$B$68*($C36+3*$C37+5*$C38+7*$C39+9*$C40+11*$C41+13*$C42+15*$C43+17*$C44)</f>
        <v>19578363.5428125</v>
      </c>
      <c r="K51" s="3">
        <f>$B67+$B$65*($C36+$C37+$C38+$C39+$C40+$C41+$C42+$C43+$C44+$C45)+$B$68*($C36+3*$C37+5*$C38+7*$C39+9*$C40+11*$C41+13*$C42+15*$C43+17*$C44+19*$C45)</f>
        <v>22223395.8009375</v>
      </c>
      <c r="L51" s="3">
        <f>$B67+$B$65*($C36+$C37+$C38+$C39+$C40+$C41+$C42+$C43+$C44+$C45+$C46)+$B$68*($C36+3*$C37+5*$C38+7*$C39+9*$C40+11*$C41+13*$C42+15*$C43+17*$C44+19*$C45+21*$C46)</f>
        <v>24661422.738125</v>
      </c>
      <c r="M51" s="3">
        <f>$B67+$B$65*($C36+$C37+$C38+$C39+$C40+$C41+$C42+$C43+$C44+$C45+$C46+$C47)+$B$68*($C36+3*$C37+5*$C38+7*$C39+9*$C40+11*$C41+13*$C42+15*$C43+17*$C44+19*$C45+21*$C46+23*$C47)</f>
        <v>27240808.602499999</v>
      </c>
      <c r="O51">
        <v>1</v>
      </c>
      <c r="P51" s="9">
        <v>1230</v>
      </c>
    </row>
    <row r="52" spans="1:23" ht="15" thickBot="1" x14ac:dyDescent="0.35">
      <c r="A52" s="2">
        <v>2</v>
      </c>
      <c r="B52" s="3"/>
      <c r="C52" s="6">
        <f>$B$51+$B$67+$B$65*$C37+$B$68*$C37</f>
        <v>3505189.2909375001</v>
      </c>
      <c r="D52" s="3">
        <f>$B$51+$B$67+$B$65*($C37+$C38)+$B$68*($C37+3*$C38)</f>
        <v>5226488.3981250003</v>
      </c>
      <c r="E52" s="3">
        <f>$B$51+$B$67+$B$65*($C37+$C38+$C39)+$B$68*($C37+3*$C38+5*$C39)</f>
        <v>7448180.4653124996</v>
      </c>
      <c r="F52" s="3">
        <f>$B$51+$B$67+$B$65*($C37+$C38+$C39+$C40)+$B$68*($C37+3*$C38+5*$C39+7*$C40)</f>
        <v>9885580.4021874983</v>
      </c>
      <c r="G52" s="3">
        <f>$B$51+$B$67+$B$65*($C37+$C38+$C39+$C40+$C41)+$B$68*($C37+3*$C38+5*$C39+7*$C40+9*$C41)</f>
        <v>12575582.41625</v>
      </c>
      <c r="H52" s="3">
        <f>$B$51+$B$67+$B$65*($C37+$C38+$C39+$C40+$C41+$C42)+$B$68*($C37+3*$C38+5*$C39+7*$C40+9*$C41+11*$C42)</f>
        <v>14496220.9121875</v>
      </c>
      <c r="I52" s="3">
        <f>$B$51+$B$67+$B$65*($C37+$C38+$C39+$C40+$C41+$C42+$C43)+$B$68*($C37+3*$C38+5*$C39+7*$C40+9*$C41+11*$C42+13*$C43)</f>
        <v>16596388.102187499</v>
      </c>
      <c r="J52" s="3">
        <f>$B$51+$B$67+$B$65*($C37+$C38+$C39+$C40+$C41+$C42+$C43+$C44)+$B$68*($C37+3*$C38+5*$C39+7*$C40+9*$C41+11*$C42+13*$C43+15*$C44)</f>
        <v>19292112.1678125</v>
      </c>
      <c r="K52" s="3">
        <f>$B$51+$B$67+$B$65*($C37+$C38+$C39+$C40+$C41+$C42+$C43+$C44+$C45)+$B$68*($C37+3*$C38+5*$C39+7*$C40+9*$C41+11*$C42+13*$C43+15*$C44+17*$C45)</f>
        <v>21897454.767187499</v>
      </c>
      <c r="L52" s="3">
        <f>$B$51+$B$67+$B$65*($C37+$C38+$C39+$C40+$C41+$C42+$C43+$C44+$C45+$C46)+$B$68*($C37+3*$C38+5*$C39+7*$C40+9*$C41+11*$C42+13*$C43+15*$C44+17*$C45+19*$C46)</f>
        <v>24299439.067499999</v>
      </c>
      <c r="M52" s="3">
        <f>$B$51+$B$67+$B$65*($C37+$C38+$C39+$C40+$C41+$C42+$C43+$C44+$C45+$C46+C47)+$B$68*($C37+3*$C38+5*$C39+7*$C40+9*$C41+11*$C42+13*$C43+15*$C44+17*$C45+19*$C46+21*C47)</f>
        <v>26841248.030625001</v>
      </c>
      <c r="O52">
        <v>2</v>
      </c>
      <c r="P52" s="10">
        <v>0</v>
      </c>
    </row>
    <row r="53" spans="1:23" ht="15" thickBot="1" x14ac:dyDescent="0.35">
      <c r="A53" s="2">
        <v>3</v>
      </c>
      <c r="B53" s="3"/>
      <c r="C53" s="3"/>
      <c r="D53" s="6">
        <f>$C$52+$B$67+$B$65*($C38)+$B$68*($C38)</f>
        <v>5197616.16</v>
      </c>
      <c r="E53" s="3">
        <f>$C$52+$B$67+$B$65*($C38+$C39)+$B$68*($C38+3*$C39)</f>
        <v>7382058.3003125004</v>
      </c>
      <c r="F53" s="3">
        <f>$C$52+$B$67+$B$65*($C38+$C39+$C40)+$B$68*($C38+3*$C39+5*$C40)</f>
        <v>9779265.5409375001</v>
      </c>
      <c r="G53" s="3">
        <f>$C$52+$B$67+$B$65*($C38+$C39+$C40+$C41)+$B$68*($C38+3*$C39+5*$C40+7*$C41)</f>
        <v>12425629.051875001</v>
      </c>
      <c r="H53" s="3">
        <f>$C$52+$B$67+$B$65*($C38+$C39+$C40+$C41+$C42)+$B$68*($C38+3*$C39+5*$C40+7*$C41+9*$C42)</f>
        <v>14315607.4121875</v>
      </c>
      <c r="I53" s="3">
        <f>$C$52+$B$67+$B$65*($C38+$C39+$C40+$C41+$C42+$C43)+$B$68*($C38+3*$C39+5*$C40+7*$C41+9*$C42+11*$C43)</f>
        <v>16382775.3421875</v>
      </c>
      <c r="J53" s="3">
        <f>$C$52+$B$67+$B$65*($C38+$C39+$C40+$C41+$C42+$C43+$C44)+$B$68*($C38+3*$C39+5*$C40+7*$C41+9*$C42+11*$C43+13*$C44)</f>
        <v>19036797.599062499</v>
      </c>
      <c r="K53" s="3">
        <f>$C$52+$B$67+$B$65*($C38+$C39+$C40+$C41+$C42+$C43+$C44+$C45)+$B$68*($C38+3*$C39+5*$C40+7*$C41+9*$C42+11*$C43+13*$C44+15*$C45)</f>
        <v>21602450.539687499</v>
      </c>
      <c r="L53" s="3">
        <f>$C$52+$B$67+$B$65*($C38+$C39+$C40+$C41+$C42+$C43+$C44+$C45+$C46)+$B$68*($C38+3*$C39+5*$C40+7*$C41+9*$C42+11*$C43+13*$C44+15*$C45+17*$C46)</f>
        <v>23968392.203125</v>
      </c>
      <c r="M53" s="3">
        <f>$C$52+$B$67+$B$65*($C38+$C39+$C40+$C41+$C42+$C43+$C44+$C45+$C46+$C47)+$B$68*($C38+3*$C39+5*$C40+7*$C41+9*$C42+11*$C43+13*$C44+15*$C45+17*$C46+19*C47)</f>
        <v>26472624.264999997</v>
      </c>
      <c r="O53">
        <v>2</v>
      </c>
      <c r="P53" s="9">
        <v>1167</v>
      </c>
    </row>
    <row r="54" spans="1:23" ht="15" thickBot="1" x14ac:dyDescent="0.35">
      <c r="A54" s="2">
        <v>4</v>
      </c>
      <c r="B54" s="3"/>
      <c r="C54" s="3"/>
      <c r="D54" s="3"/>
      <c r="E54" s="6">
        <f>$D$53+$B$67+$B$65*($C39)+$B$68*($C39)</f>
        <v>7345288.3734375006</v>
      </c>
      <c r="F54" s="3">
        <f>$D$53+$B$67+$B$65*($C39+$C40)+$B$68*($C39+3*$C40)</f>
        <v>9702302.9178125001</v>
      </c>
      <c r="G54" s="3">
        <f>$D$53+$B$67+$B$65*($C39+$C40+$C41)+$B$68*($C39+3*$C40+5*$C41)</f>
        <v>12305027.925625</v>
      </c>
      <c r="H54" s="3">
        <f>$D$53+$B$67+$B$65*($C39+$C40+$C41+$C42)+$B$68*($C39+3*$C40+5*$C41+7*$C42)</f>
        <v>14164346.1503125</v>
      </c>
      <c r="I54" s="3">
        <f>$D$53+$B$67+$B$65*($C39+$C40+$C41+$C42+$C43)+$B$68*($C39+3*$C40+5*$C41+7*$C42+9*$C43)</f>
        <v>16198514.8203125</v>
      </c>
      <c r="J54" s="3">
        <f>$D$53+$B$67+$B$65*($C39+$C40+$C41+$C42+$C43+$C44)+$B$68*($C39+3*$C40+5*$C41+7*$C42+9*$C43+11*$C44)</f>
        <v>18810835.268437501</v>
      </c>
      <c r="K54" s="3">
        <f>$D$53+$B$67+$B$65*($C39+$C40+$C41+$C42+$C43+$C44+$C45)+$B$68*($C39+3*$C40+5*$C41+7*$C42+9*$C43+11*$C44+13*$C45)</f>
        <v>21336798.5503125</v>
      </c>
      <c r="L54" s="3">
        <f>$D$53+$B$67+$B$65*($C39+$C40+$C41+$C42+$C43+$C44+$C45+$C46)+$B$68*($C39+3*$C40+5*$C41+7*$C42+9*$C43+11*$C44+13*$C45+15*$C46)</f>
        <v>23666697.576875001</v>
      </c>
      <c r="M54" s="3">
        <f>$D$53+$B$67+$B$65*($C39+$C40+$C41+$C42+$C43+$C44+$C45+$C46+C47)+$B$68*($C39+3*$C40+5*$C41+7*$C42+9*$C43+11*$C44+13*$C45+15*$C46+17*C47)</f>
        <v>26133352.737500001</v>
      </c>
      <c r="O54">
        <v>3</v>
      </c>
      <c r="P54" s="10">
        <v>0</v>
      </c>
    </row>
    <row r="55" spans="1:23" ht="15" thickBot="1" x14ac:dyDescent="0.35">
      <c r="A55" s="2">
        <v>5</v>
      </c>
      <c r="B55" s="3"/>
      <c r="C55" s="3"/>
      <c r="D55" s="3"/>
      <c r="E55" s="3"/>
      <c r="F55" s="6">
        <f>$E$54+$B$67+$B$65*($C40)+$B$68*($C40)</f>
        <v>9662590.221562501</v>
      </c>
      <c r="G55" s="3">
        <f>$E$54+$B$67+$B$65*($C40+$C41)+$B$68*($C40+3*$C41)</f>
        <v>12221676.726250002</v>
      </c>
      <c r="H55" s="3">
        <f>$E$54+$B$67+$B$65*($C40+$C41+$C42)+$B$68*($C40+3*$C41+5*$C42)</f>
        <v>14050334.815312501</v>
      </c>
      <c r="I55" s="3">
        <f>$E$54+$B$67+$B$65*($C40+$C41+$C42+$C43)+$B$68*($C40+3*$C41+5*$C42+7*$C43)</f>
        <v>16051504.225312501</v>
      </c>
      <c r="J55" s="3">
        <f>$E$54+$B$67+$B$65*($C40+$C41+$C42+$C43+$C44)+$B$68*($C40+3*$C41+5*$C42+7*$C43+9*$C44)</f>
        <v>18622122.864687502</v>
      </c>
      <c r="K55" s="3">
        <f>$E$54+$B$67+$B$65*($C40+$C41+$C42+$C43+$C44+$C45)+$B$68*($C40+3*$C41+5*$C42+7*$C43+9*$C44+11*$C45)</f>
        <v>21108396.4878125</v>
      </c>
      <c r="L55" s="3">
        <f>$E$54+$B$67+$B$65*($C40+$C41+$C42+$C43+$C44+$C45+$C46)+$B$68*($C40+3*$C41+5*$C42+7*$C43+9*$C44+11*$C45+13*$C46)</f>
        <v>23402252.877500001</v>
      </c>
      <c r="M55" s="3">
        <f>$E$54+$B$67+$B$65*($C40+$C41+$C42+$C43+$C44+$C45+$C46+C47)+$B$68*($C40+3*$C41+5*$C42+7*$C43+9*$C44+11*$C45+13*$C46+15*$C47)</f>
        <v>25831331.136875004</v>
      </c>
      <c r="O55">
        <v>3</v>
      </c>
      <c r="P55" s="9">
        <v>1481</v>
      </c>
    </row>
    <row r="56" spans="1:23" ht="15" thickBot="1" x14ac:dyDescent="0.35">
      <c r="A56" s="2">
        <v>6</v>
      </c>
      <c r="B56" s="3"/>
      <c r="C56" s="3"/>
      <c r="D56" s="3"/>
      <c r="E56" s="3"/>
      <c r="F56" s="3"/>
      <c r="G56" s="6">
        <f>$F$55+$B$67+$B$65*$C41+$B$68*$C41</f>
        <v>12178518.223125001</v>
      </c>
      <c r="H56" s="3">
        <f>$F$55+$B$67+$B$65*($C41+$C42)+$B$68*($C41+3*$C42)</f>
        <v>13976516.176562501</v>
      </c>
      <c r="I56" s="3">
        <f>$F$55+$B$67+$B$65*($C41+$C42+$C43)+$B$68*($C41+3*$C42+5*$C43)</f>
        <v>15944686.326562501</v>
      </c>
      <c r="J56" s="3">
        <f>$F$55+$B$67+$B$65*($C41+$C42+$C43+$C44)+$B$68*($C41+3*$C42+5*$C43+7*$C44)</f>
        <v>18473603.157187503</v>
      </c>
      <c r="K56" s="3">
        <f>$F$55+$B$67+$B$65*($C41+$C42+$C43+$C44+$C45)+$B$68*($C41+3*$C42+5*$C43+7*$C44+9*$C45)</f>
        <v>20920187.1215625</v>
      </c>
      <c r="L56" s="3">
        <f>$F$55+$B$67+$B$65*($C41+$C42+$C43+$C44+$C45+$C46)+$B$68*($C41+3*$C42+5*$C43+7*$C44+9*$C45+11*$C46)</f>
        <v>23178000.874375001</v>
      </c>
      <c r="M56" s="3">
        <f>$F$55+$B$67+$B$65*($C41+$C42+$C43+$C44+$C45+$C46+C47)+$B$68*($C41+3*$C42+5*$C43+7*$C44+9*$C45+11*$C46+13*C47)</f>
        <v>25569502.232500002</v>
      </c>
      <c r="O56">
        <v>4</v>
      </c>
      <c r="P56" s="10">
        <v>0</v>
      </c>
    </row>
    <row r="57" spans="1:23" ht="15" thickBot="1" x14ac:dyDescent="0.35">
      <c r="A57" s="2">
        <v>7</v>
      </c>
      <c r="B57" s="3"/>
      <c r="C57" s="3"/>
      <c r="D57" s="3"/>
      <c r="E57" s="3"/>
      <c r="F57" s="3"/>
      <c r="G57" s="3"/>
      <c r="H57" s="6">
        <f>$G$56+$B$67+$B$65*($C42)+$B$68*($C42)</f>
        <v>13946336.040937502</v>
      </c>
      <c r="I57" s="3">
        <f>$G$56+$B$67+$B$65*($C42+$C43)+$B$68*($C42+3*$C43)</f>
        <v>15881506.930937501</v>
      </c>
      <c r="J57" s="3">
        <f>$G$56+$B$67+$B$65*($C42+$C43+$C44)+$B$68*($C42+3*$C43+5*$C44)</f>
        <v>18368721.952812504</v>
      </c>
      <c r="K57" s="3">
        <f>$G$56+$B$67+$B$65*($C42+$C43+$C44+$C45)+$B$68*($C42+3*$C43+5*$C44+7*$C45)</f>
        <v>20775616.258437503</v>
      </c>
      <c r="L57" s="3">
        <f>$G$56+$B$67+$B$65*($C42+$C43+$C44+$C45+$C46)+$B$68*($C42+3*$C43+5*$C44+7*$C45+9*$C46)</f>
        <v>22997387.374375004</v>
      </c>
      <c r="M57" s="3">
        <f>$G$56+$B$67+$B$65*($C42+$C43+$C44+$C45+$C46+$C47)+$B$68*($C42+3*$C43+5*$C44+7*$C45+9*$C46+11*$C47)</f>
        <v>25351311.831250004</v>
      </c>
      <c r="O57">
        <v>4</v>
      </c>
      <c r="P57" s="9">
        <v>1598</v>
      </c>
    </row>
    <row r="58" spans="1:23" ht="15" thickBot="1" x14ac:dyDescent="0.35">
      <c r="A58" s="2">
        <v>8</v>
      </c>
      <c r="B58" s="3"/>
      <c r="C58" s="3"/>
      <c r="D58" s="3"/>
      <c r="E58" s="3"/>
      <c r="F58" s="3"/>
      <c r="G58" s="3"/>
      <c r="H58" s="3"/>
      <c r="I58" s="6">
        <f>$H$57+$B$67+$B$65*($C43)+$B$68*($C43)</f>
        <v>15848987.670937503</v>
      </c>
      <c r="J58" s="3">
        <f>$H$57+$B$67+$B$65*($C43+$C44)+$B$68*($C43+3*$C44)</f>
        <v>18294500.884062503</v>
      </c>
      <c r="K58" s="3">
        <f>$H$57+$B$67+$B$65*($C43+$C44+$C45)+$B$68*($C43+3*$C44+5*$C45)</f>
        <v>20661705.5309375</v>
      </c>
      <c r="L58" s="3">
        <f>$H$57+$B$67+$B$65*($C43+$C44+$C45+$C46)+$B$68*($C43+3*$C44+5*$C45+7*$C46)</f>
        <v>22847434.010000002</v>
      </c>
      <c r="M58" s="3">
        <f>$H$57+$B$67+$B$65*($C43+$C44+$C45+$C46+$C47)+$B$68*($C43+3*$C44+5*$C45+7*$C46+9*$C47)</f>
        <v>25163781.565625001</v>
      </c>
      <c r="O58">
        <v>5</v>
      </c>
      <c r="P58" s="10">
        <v>0</v>
      </c>
    </row>
    <row r="59" spans="1:23" ht="15" thickBot="1" x14ac:dyDescent="0.35">
      <c r="A59" s="2">
        <v>9</v>
      </c>
      <c r="B59" s="3"/>
      <c r="C59" s="3"/>
      <c r="D59" s="3"/>
      <c r="E59" s="3"/>
      <c r="F59" s="3"/>
      <c r="G59" s="3"/>
      <c r="H59" s="3"/>
      <c r="I59" s="3"/>
      <c r="J59" s="6">
        <f>$I$58+$B$67+$B$65*($C44)+$B$68*($C44)</f>
        <v>18253279.075312503</v>
      </c>
      <c r="K59" s="3">
        <f>$I$58+$B$67+$B$65*($C44+3*$C45)+$B$68*($C44+3*$C45)</f>
        <v>25116755.063437499</v>
      </c>
      <c r="L59" s="3">
        <f>$I$58+$B$67+$B$65*($C44+3*$C45+$C46)+$B$68*($C44+3*$C45+5*$C46)</f>
        <v>27266440.905625001</v>
      </c>
      <c r="M59" s="3">
        <f>$I$58+$B$67+$B$65*($C44+3*$C45+$C46+C47)+$B$68*($C44+3*$C45+5*$C46+7*C47)</f>
        <v>29545211.560000002</v>
      </c>
      <c r="O59">
        <v>5</v>
      </c>
      <c r="P59" s="9">
        <v>1735</v>
      </c>
    </row>
    <row r="60" spans="1:23" ht="15" thickBot="1" x14ac:dyDescent="0.35">
      <c r="A60" s="2">
        <v>10</v>
      </c>
      <c r="B60" s="3"/>
      <c r="C60" s="3"/>
      <c r="D60" s="3"/>
      <c r="E60" s="3"/>
      <c r="F60" s="3"/>
      <c r="G60" s="3"/>
      <c r="H60" s="3"/>
      <c r="I60" s="3"/>
      <c r="J60" s="3"/>
      <c r="K60" s="6">
        <f>$J$59+$B$67+$B$65*($C45)+$B$68*($C45)</f>
        <v>20541584.404687501</v>
      </c>
      <c r="L60" s="3">
        <f>$J$59+$B$67+$B$65*($C45+$C46)+$B$68*($C45+3*$C46)</f>
        <v>22655227.610000003</v>
      </c>
      <c r="M60" s="3">
        <f>$J$59+$B$67+$B$65*($C45+$C46+C47)+$B$68*($C45+3*$C46+5*C47)</f>
        <v>24896421.363125004</v>
      </c>
      <c r="O60">
        <v>6</v>
      </c>
      <c r="P60" s="10">
        <v>0</v>
      </c>
    </row>
    <row r="61" spans="1:23" x14ac:dyDescent="0.3">
      <c r="A61" s="2">
        <v>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6">
        <f>$K$60+$B$67+$B$65*($C46)+$B$68*($C46)</f>
        <v>22619664.973125003</v>
      </c>
      <c r="M61" s="3">
        <f>$K$60+$B$67+$B$65*($C46+C47)+$B$68*($C46+3*C47)</f>
        <v>24823281.825000003</v>
      </c>
      <c r="O61">
        <v>6</v>
      </c>
      <c r="P61">
        <v>1219</v>
      </c>
    </row>
    <row r="62" spans="1:23" x14ac:dyDescent="0.3">
      <c r="A62" s="2">
        <v>12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6">
        <f>$L$61+$B$67+$B$65*($C47)+$B$68*($C47)</f>
        <v>24786184.923750002</v>
      </c>
      <c r="O62">
        <v>7</v>
      </c>
      <c r="P62">
        <v>0</v>
      </c>
    </row>
    <row r="63" spans="1:23" x14ac:dyDescent="0.3">
      <c r="A63" s="3" t="s">
        <v>10</v>
      </c>
      <c r="B63" s="7">
        <f t="shared" ref="B63:M63" si="0">MIN(B$51:B$62)</f>
        <v>1721423.3878124999</v>
      </c>
      <c r="C63" s="7">
        <f t="shared" si="0"/>
        <v>3505189.2909375001</v>
      </c>
      <c r="D63" s="7">
        <f t="shared" si="0"/>
        <v>5197616.16</v>
      </c>
      <c r="E63" s="7">
        <f t="shared" si="0"/>
        <v>7345288.3734375006</v>
      </c>
      <c r="F63" s="7">
        <f t="shared" si="0"/>
        <v>9662590.221562501</v>
      </c>
      <c r="G63" s="7">
        <f t="shared" si="0"/>
        <v>12178518.223125001</v>
      </c>
      <c r="H63" s="7">
        <f t="shared" si="0"/>
        <v>13946336.040937502</v>
      </c>
      <c r="I63" s="7">
        <f t="shared" si="0"/>
        <v>15848987.670937503</v>
      </c>
      <c r="J63" s="7">
        <f t="shared" si="0"/>
        <v>18253279.075312503</v>
      </c>
      <c r="K63" s="7">
        <f t="shared" si="0"/>
        <v>20541584.404687501</v>
      </c>
      <c r="L63" s="7">
        <f t="shared" si="0"/>
        <v>22619664.973125003</v>
      </c>
      <c r="M63" s="7">
        <f t="shared" si="0"/>
        <v>24786184.923750002</v>
      </c>
      <c r="O63">
        <v>7</v>
      </c>
      <c r="P63">
        <v>1312</v>
      </c>
    </row>
    <row r="64" spans="1:23" x14ac:dyDescent="0.3">
      <c r="A64" s="3" t="s">
        <v>11</v>
      </c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3">
        <v>6</v>
      </c>
      <c r="H64" s="3">
        <v>7</v>
      </c>
      <c r="I64" s="3">
        <v>8</v>
      </c>
      <c r="J64" s="3">
        <v>9</v>
      </c>
      <c r="K64" s="3">
        <v>10</v>
      </c>
      <c r="L64" s="3">
        <v>11</v>
      </c>
      <c r="M64" s="3">
        <v>12</v>
      </c>
      <c r="O64">
        <v>8</v>
      </c>
      <c r="P64">
        <v>0</v>
      </c>
    </row>
    <row r="65" spans="1:27" x14ac:dyDescent="0.3">
      <c r="A65" s="3" t="s">
        <v>5</v>
      </c>
      <c r="B65">
        <v>1437.25</v>
      </c>
      <c r="O65">
        <v>8</v>
      </c>
      <c r="P65">
        <v>1658</v>
      </c>
      <c r="X65" s="1"/>
      <c r="Y65" s="1"/>
      <c r="Z65" s="1"/>
      <c r="AA65" s="1"/>
    </row>
    <row r="66" spans="1:27" x14ac:dyDescent="0.3">
      <c r="A66" s="3" t="s">
        <v>6</v>
      </c>
      <c r="B66">
        <v>1.7500000000000002E-2</v>
      </c>
      <c r="I66" s="1" t="s">
        <v>7</v>
      </c>
      <c r="J66" s="1"/>
      <c r="K66" s="1"/>
      <c r="L66" s="1"/>
      <c r="M66" s="17">
        <f>M62</f>
        <v>24786184.923750002</v>
      </c>
      <c r="O66">
        <v>9</v>
      </c>
      <c r="P66">
        <v>0</v>
      </c>
    </row>
    <row r="67" spans="1:27" x14ac:dyDescent="0.3">
      <c r="A67" s="3" t="s">
        <v>9</v>
      </c>
      <c r="B67">
        <v>480</v>
      </c>
      <c r="O67">
        <v>9</v>
      </c>
      <c r="P67">
        <v>1578</v>
      </c>
    </row>
    <row r="68" spans="1:27" x14ac:dyDescent="0.3">
      <c r="A68" s="3" t="s">
        <v>8</v>
      </c>
      <c r="B68">
        <f>B65*B66 /2</f>
        <v>12.575937500000002</v>
      </c>
      <c r="O68">
        <v>10</v>
      </c>
      <c r="P68">
        <v>0</v>
      </c>
    </row>
    <row r="69" spans="1:27" x14ac:dyDescent="0.3">
      <c r="O69">
        <v>10</v>
      </c>
      <c r="P69">
        <v>1433</v>
      </c>
    </row>
    <row r="70" spans="1:27" x14ac:dyDescent="0.3">
      <c r="O70">
        <v>11</v>
      </c>
      <c r="P70">
        <v>0</v>
      </c>
    </row>
    <row r="71" spans="1:27" x14ac:dyDescent="0.3">
      <c r="O71">
        <v>11</v>
      </c>
      <c r="P71">
        <v>1494</v>
      </c>
    </row>
    <row r="72" spans="1:27" x14ac:dyDescent="0.3">
      <c r="O72">
        <v>12</v>
      </c>
      <c r="P72">
        <v>0</v>
      </c>
    </row>
  </sheetData>
  <mergeCells count="2">
    <mergeCell ref="A49:A50"/>
    <mergeCell ref="B49:M49"/>
  </mergeCells>
  <pageMargins left="0.7" right="0.7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35DB-7E5E-4D4B-A74E-FE0A77D5E7E9}">
  <sheetPr codeName="Sheet6"/>
  <dimension ref="A18:AB72"/>
  <sheetViews>
    <sheetView tabSelected="1" topLeftCell="N45" workbookViewId="0">
      <selection activeCell="AC68" sqref="AC68"/>
    </sheetView>
  </sheetViews>
  <sheetFormatPr defaultRowHeight="14.4" x14ac:dyDescent="0.3"/>
  <cols>
    <col min="13" max="13" width="14.77734375" bestFit="1" customWidth="1"/>
    <col min="16" max="16" width="22" bestFit="1" customWidth="1"/>
    <col min="17" max="17" width="10.44140625" customWidth="1"/>
    <col min="28" max="28" width="14.77734375" bestFit="1" customWidth="1"/>
  </cols>
  <sheetData>
    <row r="18" spans="2:3" x14ac:dyDescent="0.3">
      <c r="B18" s="5"/>
      <c r="C18" s="8">
        <v>29192</v>
      </c>
    </row>
    <row r="35" spans="1:21" x14ac:dyDescent="0.3">
      <c r="A35" s="3" t="s">
        <v>2</v>
      </c>
      <c r="B35" s="3" t="s">
        <v>3</v>
      </c>
      <c r="C35" s="3" t="s">
        <v>4</v>
      </c>
    </row>
    <row r="36" spans="1:21" ht="15" thickBot="1" x14ac:dyDescent="0.35">
      <c r="A36" s="3">
        <v>1</v>
      </c>
      <c r="B36" s="5">
        <v>45748</v>
      </c>
      <c r="C36" s="9">
        <v>1254</v>
      </c>
    </row>
    <row r="37" spans="1:21" ht="15" thickBot="1" x14ac:dyDescent="0.35">
      <c r="A37" s="3">
        <v>2</v>
      </c>
      <c r="B37" s="5">
        <v>45778</v>
      </c>
      <c r="C37" s="10">
        <v>1330</v>
      </c>
    </row>
    <row r="38" spans="1:21" ht="15" thickBot="1" x14ac:dyDescent="0.35">
      <c r="A38" s="3">
        <v>3</v>
      </c>
      <c r="B38" s="5">
        <v>45809</v>
      </c>
      <c r="C38" s="9">
        <v>1038</v>
      </c>
    </row>
    <row r="39" spans="1:21" ht="15" thickBot="1" x14ac:dyDescent="0.35">
      <c r="A39" s="3">
        <v>4</v>
      </c>
      <c r="B39" s="5">
        <v>45839</v>
      </c>
      <c r="C39" s="10">
        <v>1300</v>
      </c>
    </row>
    <row r="40" spans="1:21" ht="15" thickBot="1" x14ac:dyDescent="0.35">
      <c r="A40" s="3">
        <v>5</v>
      </c>
      <c r="B40" s="5">
        <v>45870</v>
      </c>
      <c r="C40" s="9">
        <v>1593</v>
      </c>
    </row>
    <row r="41" spans="1:21" ht="15" thickBot="1" x14ac:dyDescent="0.35">
      <c r="A41" s="3">
        <v>6</v>
      </c>
      <c r="B41" s="5">
        <v>45901</v>
      </c>
      <c r="C41" s="10">
        <v>1672</v>
      </c>
      <c r="P41" s="13"/>
      <c r="U41" s="14"/>
    </row>
    <row r="42" spans="1:21" ht="15" thickBot="1" x14ac:dyDescent="0.35">
      <c r="A42" s="3">
        <v>7</v>
      </c>
      <c r="B42" s="5">
        <v>45931</v>
      </c>
      <c r="C42" s="9">
        <v>1089</v>
      </c>
      <c r="P42" s="15"/>
      <c r="U42" s="16"/>
    </row>
    <row r="43" spans="1:21" ht="15" thickBot="1" x14ac:dyDescent="0.35">
      <c r="A43" s="3">
        <v>8</v>
      </c>
      <c r="B43" s="5">
        <v>45962</v>
      </c>
      <c r="C43" s="10">
        <v>1196</v>
      </c>
      <c r="U43" s="14"/>
    </row>
    <row r="44" spans="1:21" ht="15" thickBot="1" x14ac:dyDescent="0.35">
      <c r="A44" s="3">
        <v>9</v>
      </c>
      <c r="B44" s="5">
        <v>45992</v>
      </c>
      <c r="C44" s="9">
        <v>1011</v>
      </c>
    </row>
    <row r="45" spans="1:21" ht="15" thickBot="1" x14ac:dyDescent="0.35">
      <c r="A45" s="3">
        <v>10</v>
      </c>
      <c r="B45" s="5">
        <v>46023</v>
      </c>
      <c r="C45" s="10">
        <v>1293</v>
      </c>
    </row>
    <row r="46" spans="1:21" ht="15" thickBot="1" x14ac:dyDescent="0.35">
      <c r="A46" s="3">
        <v>11</v>
      </c>
      <c r="B46" s="5">
        <v>46054</v>
      </c>
      <c r="C46" s="9">
        <v>1387</v>
      </c>
    </row>
    <row r="47" spans="1:21" ht="15" thickBot="1" x14ac:dyDescent="0.35">
      <c r="A47" s="3">
        <v>12</v>
      </c>
      <c r="B47" s="5">
        <v>46082</v>
      </c>
      <c r="C47" s="10">
        <v>1406</v>
      </c>
    </row>
    <row r="48" spans="1:21" x14ac:dyDescent="0.3">
      <c r="P48" t="s">
        <v>14</v>
      </c>
      <c r="Q48" t="s">
        <v>12</v>
      </c>
    </row>
    <row r="49" spans="1:23" ht="15" thickBot="1" x14ac:dyDescent="0.35">
      <c r="A49" s="19" t="s">
        <v>0</v>
      </c>
      <c r="B49" s="20" t="s">
        <v>1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P49">
        <v>0</v>
      </c>
      <c r="Q49" s="9">
        <v>1254</v>
      </c>
      <c r="R49" s="1"/>
      <c r="S49" s="1"/>
      <c r="T49" s="1"/>
      <c r="U49" s="1"/>
      <c r="V49" s="1"/>
      <c r="W49" s="1"/>
    </row>
    <row r="50" spans="1:23" ht="15" thickBot="1" x14ac:dyDescent="0.35">
      <c r="A50" s="19"/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P50">
        <v>1</v>
      </c>
      <c r="Q50" s="10">
        <v>0</v>
      </c>
    </row>
    <row r="51" spans="1:23" ht="15" thickBot="1" x14ac:dyDescent="0.35">
      <c r="A51" s="2">
        <v>1</v>
      </c>
      <c r="B51" s="4">
        <f>$B$67+$B$65*$C36+$B$68*$C36</f>
        <v>1297481.6037000001</v>
      </c>
      <c r="C51" s="3">
        <f>B67+B65*(C36+C37)+B68*(C36+3*C37)</f>
        <v>2696953.6881999997</v>
      </c>
      <c r="D51" s="3">
        <f>B67+B65*(C36+C37+C38)+B68*(C36+3*C37+5*C38)</f>
        <v>3807798.1926999995</v>
      </c>
      <c r="E51" s="3">
        <f>$B67+$B$65*($C36+$C37+$C38+$C39)+$B$68*($C36+3*$C37+5*$C38+7*$C39)</f>
        <v>5222355.2977</v>
      </c>
      <c r="F51" s="3">
        <f>$B67+$B$65*($C36+$C37+$C38+$C39+$C40)+$B$68*($C36+3*$C37+5*$C38+7*$C39+9*$C40)</f>
        <v>6984315.1700499998</v>
      </c>
      <c r="G51" s="3">
        <f>$B67+$B$65*($C36+$C37+$C38+$C39+$C40+$C41)+$B$68*($C36+3*$C37+5*$C38+7*$C39+9*$C40+11*$C41)</f>
        <v>8863654.9576500002</v>
      </c>
      <c r="H51" s="3">
        <f>$B67+$B$65*($C36+$C37+$C38+$C39+$C40+$C41+$C42)+$B$68*($C36+3*$C37+5*$C38+7*$C39+9*$C40+11*$C41+13*$C42)</f>
        <v>10107238.671</v>
      </c>
      <c r="I51" s="3">
        <f>$B67+$B$65*($C36+$C37+$C38+$C39+$C40+$C41+$C42+$C43)+$B$68*($C36+3*$C37+5*$C38+7*$C39+9*$C40+11*$C41+13*$C42+15*$C43)</f>
        <v>11494470.998</v>
      </c>
      <c r="J51" s="3">
        <f>$B67+$B$65*($C36+$C37+$C38+$C39+$C40+$C41+$C42+$C43+$C44)+$B$68*($C36+3*$C37+5*$C38+7*$C39+9*$C40+11*$C41+13*$C42+15*$C43+17*$C44)</f>
        <v>12685263.547849998</v>
      </c>
      <c r="K51" s="3">
        <f>$B67+$B$65*($C36+$C37+$C38+$C39+$C40+$C41+$C42+$C43+$C44+$C45)+$B$68*($C36+3*$C37+5*$C38+7*$C39+9*$C40+11*$C41+13*$C42+15*$C43+17*$C44+19*$C45)</f>
        <v>14231406.376699999</v>
      </c>
      <c r="L51" s="3">
        <f>$B67+$B$65*($C36+$C37+$C38+$C39+$C40+$C41+$C42+$C43+$C44+$C45+$C46)+$B$68*($C36+3*$C37+5*$C38+7*$C39+9*$C40+11*$C41+13*$C42+15*$C43+17*$C44+19*$C45+21*$C46)</f>
        <v>15914839.553549998</v>
      </c>
      <c r="M51" s="3">
        <f>$B67+$B$65*($C36+$C37+$C38+$C39+$C40+$C41+$C42+$C43+$C44+$C45+$C46+$C47)+$B$68*($C36+3*$C37+5*$C38+7*$C39+9*$C40+11*$C41+13*$C42+15*$C43+17*$C44+19*$C45+21*$C46+23*$C47)</f>
        <v>17646561.457449999</v>
      </c>
      <c r="P51">
        <v>1</v>
      </c>
      <c r="Q51" s="9">
        <v>1330</v>
      </c>
    </row>
    <row r="52" spans="1:23" ht="15" thickBot="1" x14ac:dyDescent="0.35">
      <c r="A52" s="2">
        <v>2</v>
      </c>
      <c r="B52" s="3"/>
      <c r="C52" s="6">
        <f>$B$51+$B$67+$B$65*$C37+$B$68*$C37</f>
        <v>2673569.3651999999</v>
      </c>
      <c r="D52" s="3">
        <f>$B$51+$B$67+$B$65*($C37+$C38)+$B$68*($C37+3*$C38)</f>
        <v>3765788.9318999997</v>
      </c>
      <c r="E52" s="3">
        <f>$B$51+$B$67+$B$65*($C37+$C38+$C39)+$B$68*($C37+3*$C38+5*$C39)</f>
        <v>5157020.0068999995</v>
      </c>
      <c r="F52" s="3">
        <f>$B$51+$B$67+$B$65*($C37+$C38+$C39+$C40)+$B$68*($C37+3*$C38+5*$C39+7*$C40)</f>
        <v>6890396.5209499998</v>
      </c>
      <c r="G52" s="3">
        <f>$B$51+$B$67+$B$65*($C37+$C38+$C39+$C40+$C41)+$B$68*($C37+3*$C38+5*$C39+7*$C40+9*$C41)</f>
        <v>8739735.4453499988</v>
      </c>
      <c r="H52" s="3">
        <f>$B$51+$B$67+$B$65*($C37+$C38+$C39+$C40+$C41+$C42)+$B$68*($C37+3*$C38+5*$C39+7*$C40+9*$C41+11*$C42)</f>
        <v>9963779.1228</v>
      </c>
      <c r="I52" s="3">
        <f>$B$51+$B$67+$B$65*($C37+$C38+$C39+$C40+$C41+$C42+$C43)+$B$68*($C37+3*$C38+5*$C39+7*$C40+9*$C41+11*$C42+13*$C43)</f>
        <v>11329551.5022</v>
      </c>
      <c r="J52" s="3">
        <f>$B$51+$B$67+$B$65*($C37+$C38+$C39+$C40+$C41+$C42+$C43+$C44)+$B$68*($C37+3*$C38+5*$C39+7*$C40+9*$C41+11*$C42+13*$C43+15*$C44)</f>
        <v>12502203.577950001</v>
      </c>
      <c r="K52" s="3">
        <f>$B$51+$B$67+$B$65*($C37+$C38+$C39+$C40+$C41+$C42+$C43+$C44+$C45)+$B$68*($C37+3*$C38+5*$C39+7*$C40+9*$C41+11*$C42+13*$C43+15*$C44+17*$C45)</f>
        <v>14025145.978499999</v>
      </c>
      <c r="L52" s="3">
        <f>$B$51+$B$67+$B$65*($C37+$C38+$C39+$C40+$C41+$C42+$C43+$C44+$C45+$C46)+$B$68*($C37+3*$C38+5*$C39+7*$C40+9*$C41+11*$C42+13*$C43+15*$C44+17*$C45+19*$C46)</f>
        <v>15683692.075649999</v>
      </c>
      <c r="M52" s="3">
        <f>$B$51+$B$67+$B$65*($C37+$C38+$C39+$C40+$C41+$C42+$C43+$C44+$C45+$C46+C47)+$B$68*($C37+3*$C38+5*$C39+7*$C40+9*$C41+11*$C42+13*$C43+15*$C44+17*$C45+19*$C46+21*C47)</f>
        <v>17390185.980949998</v>
      </c>
      <c r="P52">
        <v>2</v>
      </c>
      <c r="Q52" s="10">
        <v>0</v>
      </c>
    </row>
    <row r="53" spans="1:23" ht="15" thickBot="1" x14ac:dyDescent="0.35">
      <c r="A53" s="2">
        <v>3</v>
      </c>
      <c r="B53" s="3"/>
      <c r="C53" s="3"/>
      <c r="D53" s="6">
        <f>$C$52+$B$67+$B$65*($C38)+$B$68*($C38)</f>
        <v>3747643.9941000002</v>
      </c>
      <c r="E53" s="3">
        <f>$C$52+$B$67+$B$65*($C38+$C39)+$B$68*($C38+3*$C39)</f>
        <v>5115549.0390999997</v>
      </c>
      <c r="F53" s="3">
        <f>$C$52+$B$67+$B$65*($C38+$C39+$C40)+$B$68*($C38+3*$C39+5*$C40)</f>
        <v>6820342.1948499996</v>
      </c>
      <c r="G53" s="3">
        <f>$C$52+$B$67+$B$65*($C38+$C39+$C40+$C41)+$B$68*($C38+3*$C39+5*$C40+7*$C41)</f>
        <v>8639680.2560499981</v>
      </c>
      <c r="H53" s="3">
        <f>$C$52+$B$67+$B$65*($C38+$C39+$C40+$C41+$C42)+$B$68*($C38+3*$C39+5*$C40+7*$C41+9*$C42)</f>
        <v>9844183.8975999989</v>
      </c>
      <c r="I53" s="3">
        <f>$C$52+$B$67+$B$65*($C38+$C39+$C40+$C41+$C42+$C43)+$B$68*($C38+3*$C39+5*$C40+7*$C41+9*$C42+11*$C43)</f>
        <v>11188496.329399997</v>
      </c>
      <c r="J53" s="3">
        <f>$C$52+$B$67+$B$65*($C38+$C39+$C40+$C41+$C42+$C43+$C44)+$B$68*($C38+3*$C39+5*$C40+7*$C41+9*$C42+11*$C43+13*$C44)</f>
        <v>12343007.931049999</v>
      </c>
      <c r="K53" s="3">
        <f>$C$52+$B$67+$B$65*($C38+$C39+$C40+$C41+$C42+$C43+$C44+$C45)+$B$68*($C38+3*$C39+5*$C40+7*$C41+9*$C42+11*$C43+13*$C44+15*$C45)</f>
        <v>13842749.903299998</v>
      </c>
      <c r="L53" s="3">
        <f>$C$52+$B$67+$B$65*($C38+$C39+$C40+$C41+$C42+$C43+$C44+$C45+$C46)+$B$68*($C38+3*$C39+5*$C40+7*$C41+9*$C42+11*$C43+13*$C44+15*$C45+17*$C46)</f>
        <v>15476408.92075</v>
      </c>
      <c r="M53" s="3">
        <f>$C$52+$B$67+$B$65*($C38+$C39+$C40+$C41+$C42+$C43+$C44+$C45+$C46+$C47)+$B$68*($C38+3*$C39+5*$C40+7*$C41+9*$C42+11*$C43+13*$C44+15*$C45+17*$C46+19*C47)</f>
        <v>17157674.82745</v>
      </c>
      <c r="P53">
        <v>2</v>
      </c>
      <c r="Q53" s="9">
        <v>1038</v>
      </c>
    </row>
    <row r="54" spans="1:23" ht="15" thickBot="1" x14ac:dyDescent="0.35">
      <c r="A54" s="2">
        <v>4</v>
      </c>
      <c r="B54" s="3"/>
      <c r="C54" s="3"/>
      <c r="D54" s="3"/>
      <c r="E54" s="6">
        <f>$D$53+$B$67+$B$65*($C39)+$B$68*($C39)</f>
        <v>5092703.0091000004</v>
      </c>
      <c r="F54" s="3">
        <f>$D$53+$B$67+$B$65*($C39+$C40)+$B$68*($C39+3*$C40)</f>
        <v>6768912.8065500008</v>
      </c>
      <c r="G54" s="3">
        <f>$D$53+$B$67+$B$65*($C39+$C40+$C41)+$B$68*($C39+3*$C40+5*$C41)</f>
        <v>8558250.0045499988</v>
      </c>
      <c r="H54" s="3">
        <f>$D$53+$B$67+$B$65*($C39+$C40+$C41+$C42)+$B$68*($C39+3*$C40+5*$C41+7*$C42)</f>
        <v>9743213.6102000009</v>
      </c>
      <c r="I54" s="3">
        <f>$D$53+$B$67+$B$65*($C39+$C40+$C41+$C42+$C43)+$B$68*($C39+3*$C40+5*$C41+7*$C42+9*$C43)</f>
        <v>11066066.0944</v>
      </c>
      <c r="J54" s="3">
        <f>$D$53+$B$67+$B$65*($C39+$C40+$C41+$C42+$C43+$C44)+$B$68*($C39+3*$C40+5*$C41+7*$C42+9*$C43+11*$C44)</f>
        <v>12202437.22195</v>
      </c>
      <c r="K54" s="3">
        <f>$D$53+$B$67+$B$65*($C39+$C40+$C41+$C42+$C43+$C44+$C45)+$B$68*($C39+3*$C40+5*$C41+7*$C42+9*$C43+11*$C44+13*$C45)</f>
        <v>13678978.765900001</v>
      </c>
      <c r="L54" s="3">
        <f>$D$53+$B$67+$B$65*($C39+$C40+$C41+$C42+$C43+$C44+$C45+$C46)+$B$68*($C39+3*$C40+5*$C41+7*$C42+9*$C43+11*$C44+13*$C45+15*$C46)</f>
        <v>15287750.70365</v>
      </c>
      <c r="M54" s="3">
        <f>$D$53+$B$67+$B$65*($C39+$C40+$C41+$C42+$C43+$C44+$C45+$C46+C47)+$B$68*($C39+3*$C40+5*$C41+7*$C42+9*$C43+11*$C44+13*$C45+15*$C46+17*C47)</f>
        <v>16943788.611749999</v>
      </c>
      <c r="P54">
        <v>3</v>
      </c>
      <c r="Q54" s="10">
        <v>0</v>
      </c>
    </row>
    <row r="55" spans="1:23" ht="15" thickBot="1" x14ac:dyDescent="0.35">
      <c r="A55" s="2">
        <v>5</v>
      </c>
      <c r="B55" s="3"/>
      <c r="C55" s="3"/>
      <c r="D55" s="3"/>
      <c r="E55" s="3"/>
      <c r="F55" s="6">
        <f>$E$54+$B$67+$B$65*($C40)+$B$68*($C40)</f>
        <v>6740809.4482500004</v>
      </c>
      <c r="G55" s="3">
        <f>$E$54+$B$67+$B$65*($C40+$C41)+$B$68*($C40+3*$C41)</f>
        <v>8500145.7830500007</v>
      </c>
      <c r="H55" s="3">
        <f>$E$54+$B$67+$B$65*($C40+$C41+$C42)+$B$68*($C40+3*$C41+5*$C42)</f>
        <v>9665569.3527999986</v>
      </c>
      <c r="I55" s="3">
        <f>$E$54+$B$67+$B$65*($C40+$C41+$C42+$C43)+$B$68*($C40+3*$C41+5*$C42+7*$C43)</f>
        <v>10966961.889400002</v>
      </c>
      <c r="J55" s="3">
        <f>$E$54+$B$67+$B$65*($C40+$C41+$C42+$C43+$C44)+$B$68*($C40+3*$C41+5*$C42+7*$C43+9*$C44)</f>
        <v>12085192.542850001</v>
      </c>
      <c r="K55" s="3">
        <f>$E$54+$B$67+$B$65*($C40+$C41+$C42+$C43+$C44+$C45)+$B$68*($C40+3*$C41+5*$C42+7*$C43+9*$C44+11*$C45)</f>
        <v>13538533.658499999</v>
      </c>
      <c r="L55" s="3">
        <f>$E$54+$B$67+$B$65*($C40+$C41+$C42+$C43+$C44+$C45+$C46)+$B$68*($C40+3*$C41+5*$C42+7*$C43+9*$C44+11*$C45+13*$C46)</f>
        <v>15122418.516549999</v>
      </c>
      <c r="M55" s="3">
        <f>$E$54+$B$67+$B$65*($C40+$C41+$C42+$C43+$C44+$C45+$C46+C47)+$B$68*($C40+3*$C41+5*$C42+7*$C43+9*$C44+11*$C45+13*$C46+15*$C47)</f>
        <v>16753228.42605</v>
      </c>
      <c r="P55">
        <v>3</v>
      </c>
      <c r="Q55" s="9">
        <v>1300</v>
      </c>
    </row>
    <row r="56" spans="1:23" ht="15" thickBot="1" x14ac:dyDescent="0.35">
      <c r="A56" s="2">
        <v>6</v>
      </c>
      <c r="B56" s="3"/>
      <c r="C56" s="3"/>
      <c r="D56" s="3"/>
      <c r="E56" s="3"/>
      <c r="F56" s="3"/>
      <c r="G56" s="6">
        <f>$F$55+$B$67+$B$65*$C41+$B$68*$C41</f>
        <v>8470624.9198500011</v>
      </c>
      <c r="H56" s="3">
        <f>$F$55+$B$67+$B$65*($C41+$C42)+$B$68*($C41+3*$C42)</f>
        <v>9616508.4537000004</v>
      </c>
      <c r="I56" s="3">
        <f>$F$55+$B$67+$B$65*($C41+$C42+$C43)+$B$68*($C41+3*$C42+5*$C43)</f>
        <v>10896441.0427</v>
      </c>
      <c r="J56" s="3">
        <f>$F$55+$B$67+$B$65*($C41+$C42+$C43+$C44)+$B$68*($C41+3*$C42+5*$C43+7*$C44)</f>
        <v>11996531.222050002</v>
      </c>
      <c r="K56" s="3">
        <f>$F$55+$B$67+$B$65*($C41+$C42+$C43+$C44+$C45)+$B$68*($C41+3*$C42+5*$C43+7*$C44+9*$C45)</f>
        <v>13426671.909399999</v>
      </c>
      <c r="L56" s="3">
        <f>$F$55+$B$67+$B$65*($C41+$C42+$C43+$C44+$C45+$C46)+$B$68*($C41+3*$C42+5*$C43+7*$C44+9*$C45+11*$C46)</f>
        <v>14985669.687749999</v>
      </c>
      <c r="M56" s="3">
        <f>$F$55+$B$67+$B$65*($C41+$C42+$C43+$C44+$C45+$C46+C47)+$B$68*($C41+3*$C42+5*$C43+7*$C44+9*$C45+11*$C46+13*C47)</f>
        <v>16591251.598650001</v>
      </c>
      <c r="P56">
        <v>4</v>
      </c>
      <c r="Q56" s="10">
        <v>0</v>
      </c>
    </row>
    <row r="57" spans="1:23" ht="15" thickBot="1" x14ac:dyDescent="0.35">
      <c r="A57" s="2">
        <v>7</v>
      </c>
      <c r="B57" s="3"/>
      <c r="C57" s="3"/>
      <c r="D57" s="3"/>
      <c r="E57" s="3"/>
      <c r="F57" s="3"/>
      <c r="G57" s="3"/>
      <c r="H57" s="6">
        <f>$G$56+$B$67+$B$65*($C42)+$B$68*($C42)</f>
        <v>9597448.4178000018</v>
      </c>
      <c r="I57" s="3">
        <f>$G$56+$B$67+$B$65*($C42+$C43)+$B$68*($C42+3*$C43)</f>
        <v>10855921.0592</v>
      </c>
      <c r="J57" s="3">
        <f>$G$56+$B$67+$B$65*($C42+$C43+$C44)+$B$68*($C42+3*$C43+5*$C44)</f>
        <v>11937870.764450002</v>
      </c>
      <c r="K57" s="3">
        <f>$G$56+$B$67+$B$65*($C42+$C43+$C44+$C45)+$B$68*($C42+3*$C43+5*$C44+7*$C45)</f>
        <v>13344811.023499999</v>
      </c>
      <c r="L57" s="3">
        <f>$G$56+$B$67+$B$65*($C42+$C43+$C44+$C45+$C46)+$B$68*($C42+3*$C43+5*$C44+7*$C45+9*$C46)</f>
        <v>14878921.72215</v>
      </c>
      <c r="M57" s="3">
        <f>$G$56+$B$67+$B$65*($C42+$C43+$C44+$C45+$C46+$C47)+$B$68*($C42+3*$C43+5*$C44+7*$C45+9*$C46+11*$C47)</f>
        <v>16459275.634450002</v>
      </c>
      <c r="P57">
        <v>4</v>
      </c>
      <c r="Q57" s="9">
        <v>1593</v>
      </c>
    </row>
    <row r="58" spans="1:23" ht="15" thickBot="1" x14ac:dyDescent="0.35">
      <c r="A58" s="2">
        <v>8</v>
      </c>
      <c r="B58" s="3"/>
      <c r="C58" s="3"/>
      <c r="D58" s="3"/>
      <c r="E58" s="3"/>
      <c r="F58" s="3"/>
      <c r="G58" s="3"/>
      <c r="H58" s="3"/>
      <c r="I58" s="6">
        <f>$H$57+$B$67+$B$65*($C43)+$B$68*($C43)</f>
        <v>10834941.111600002</v>
      </c>
      <c r="J58" s="3">
        <f>$H$57+$B$67+$B$65*($C43+$C44)+$B$68*($C43+3*$C44)</f>
        <v>11898750.342750002</v>
      </c>
      <c r="K58" s="3">
        <f>$H$57+$B$67+$B$65*($C43+$C44+$C45)+$B$68*($C43+3*$C44+5*$C45)</f>
        <v>13282490.173500001</v>
      </c>
      <c r="L58" s="3">
        <f>$H$57+$B$67+$B$65*($C43+$C44+$C45+$C46)+$B$68*($C43+3*$C44+5*$C45+7*$C46)</f>
        <v>14791713.792450001</v>
      </c>
      <c r="M58" s="3">
        <f>$H$57+$B$67+$B$65*($C43+$C44+$C45+$C46+$C47)+$B$68*($C43+3*$C44+5*$C45+7*$C46+9*$C47)</f>
        <v>16346839.706150001</v>
      </c>
      <c r="P58">
        <v>5</v>
      </c>
      <c r="Q58" s="10">
        <v>0</v>
      </c>
    </row>
    <row r="59" spans="1:23" ht="15" thickBot="1" x14ac:dyDescent="0.35">
      <c r="A59" s="2">
        <v>9</v>
      </c>
      <c r="B59" s="3"/>
      <c r="C59" s="3"/>
      <c r="D59" s="3"/>
      <c r="E59" s="3"/>
      <c r="F59" s="3"/>
      <c r="G59" s="3"/>
      <c r="H59" s="3"/>
      <c r="I59" s="3"/>
      <c r="J59" s="6">
        <f>$I$58+$B$67+$B$65*($C44)+$B$68*($C44)</f>
        <v>11881089.868650002</v>
      </c>
      <c r="K59" s="3">
        <f>$I$58+$B$67+$B$65*($C44+3*$C45)+$B$68*($C44+3*$C45)</f>
        <v>15893106.791100001</v>
      </c>
      <c r="L59" s="3">
        <f>$I$58+$B$67+$B$65*($C44+3*$C45+$C46)+$B$68*($C44+3*$C45+5*$C46)</f>
        <v>17377443.33035</v>
      </c>
      <c r="M59" s="3">
        <f>$I$58+$B$67+$B$65*($C44+3*$C45+$C46+C47)+$B$68*($C44+3*$C45+5*$C46+7*C47)</f>
        <v>18907341.245450001</v>
      </c>
      <c r="P59">
        <v>5</v>
      </c>
      <c r="Q59" s="9">
        <v>1672</v>
      </c>
    </row>
    <row r="60" spans="1:23" ht="15" thickBot="1" x14ac:dyDescent="0.35">
      <c r="A60" s="2">
        <v>10</v>
      </c>
      <c r="B60" s="3"/>
      <c r="C60" s="3"/>
      <c r="D60" s="3"/>
      <c r="E60" s="3"/>
      <c r="F60" s="3"/>
      <c r="G60" s="3"/>
      <c r="H60" s="3"/>
      <c r="I60" s="3"/>
      <c r="J60" s="3"/>
      <c r="K60" s="6">
        <f>$J$59+$B$67+$B$65*($C45)+$B$68*($C45)</f>
        <v>13218908.842800003</v>
      </c>
      <c r="L60" s="3">
        <f>$J$59+$B$67+$B$65*($C45+$C46)+$B$68*($C45+3*$C46)</f>
        <v>14678358.302350001</v>
      </c>
      <c r="M60" s="3">
        <f>$J$59+$B$67+$B$65*($C45+$C46+C47)+$B$68*($C45+3*$C46+5*C47)</f>
        <v>16183028.218850002</v>
      </c>
      <c r="P60">
        <v>6</v>
      </c>
      <c r="Q60" s="10">
        <v>0</v>
      </c>
    </row>
    <row r="61" spans="1:23" x14ac:dyDescent="0.3">
      <c r="A61" s="2">
        <v>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6">
        <f>$K$60+$B$67+$B$65*($C46)+$B$68*($C46)</f>
        <v>14653951.222650003</v>
      </c>
      <c r="M61" s="3">
        <f>$K$60+$B$67+$B$65*($C46+C47)+$B$68*($C46+3*C47)</f>
        <v>16133393.140550002</v>
      </c>
      <c r="P61">
        <v>6</v>
      </c>
      <c r="Q61">
        <v>1089</v>
      </c>
    </row>
    <row r="62" spans="1:23" x14ac:dyDescent="0.3">
      <c r="A62" s="2">
        <v>12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6">
        <f>$L$61+$B$67+$B$65*($C47)+$B$68*($C47)</f>
        <v>16108645.141950002</v>
      </c>
      <c r="P62">
        <v>7</v>
      </c>
      <c r="Q62">
        <v>0</v>
      </c>
    </row>
    <row r="63" spans="1:23" x14ac:dyDescent="0.3">
      <c r="A63" s="3" t="s">
        <v>10</v>
      </c>
      <c r="B63" s="7">
        <f t="shared" ref="B63:M63" si="0">MIN(B$51:B$62)</f>
        <v>1297481.6037000001</v>
      </c>
      <c r="C63" s="7">
        <f t="shared" si="0"/>
        <v>2673569.3651999999</v>
      </c>
      <c r="D63" s="7">
        <f t="shared" si="0"/>
        <v>3747643.9941000002</v>
      </c>
      <c r="E63" s="7">
        <f t="shared" si="0"/>
        <v>5092703.0091000004</v>
      </c>
      <c r="F63" s="7">
        <f t="shared" si="0"/>
        <v>6740809.4482500004</v>
      </c>
      <c r="G63" s="7">
        <f t="shared" si="0"/>
        <v>8470624.9198500011</v>
      </c>
      <c r="H63" s="7">
        <f t="shared" si="0"/>
        <v>9597448.4178000018</v>
      </c>
      <c r="I63" s="7">
        <f t="shared" si="0"/>
        <v>10834941.111600002</v>
      </c>
      <c r="J63" s="7">
        <f t="shared" si="0"/>
        <v>11881089.868650002</v>
      </c>
      <c r="K63" s="7">
        <f t="shared" si="0"/>
        <v>13218908.842800003</v>
      </c>
      <c r="L63" s="7">
        <f t="shared" si="0"/>
        <v>14653951.222650003</v>
      </c>
      <c r="M63" s="7">
        <f t="shared" si="0"/>
        <v>16108645.141950002</v>
      </c>
      <c r="P63">
        <v>7</v>
      </c>
      <c r="Q63">
        <v>1196</v>
      </c>
    </row>
    <row r="64" spans="1:23" x14ac:dyDescent="0.3">
      <c r="A64" s="3" t="s">
        <v>11</v>
      </c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3">
        <v>6</v>
      </c>
      <c r="H64" s="3">
        <v>7</v>
      </c>
      <c r="I64" s="3">
        <v>8</v>
      </c>
      <c r="J64" s="3">
        <v>9</v>
      </c>
      <c r="K64" s="3">
        <v>10</v>
      </c>
      <c r="L64" s="3">
        <v>11</v>
      </c>
      <c r="M64" s="3">
        <v>12</v>
      </c>
      <c r="P64">
        <v>8</v>
      </c>
      <c r="Q64">
        <v>0</v>
      </c>
    </row>
    <row r="65" spans="1:28" x14ac:dyDescent="0.3">
      <c r="A65" s="3" t="s">
        <v>5</v>
      </c>
      <c r="B65">
        <v>1025.32</v>
      </c>
      <c r="P65">
        <v>8</v>
      </c>
      <c r="Q65">
        <v>1011</v>
      </c>
    </row>
    <row r="66" spans="1:28" x14ac:dyDescent="0.3">
      <c r="A66" s="3" t="s">
        <v>6</v>
      </c>
      <c r="B66">
        <v>1.7500000000000002E-2</v>
      </c>
      <c r="I66" s="1" t="s">
        <v>7</v>
      </c>
      <c r="J66" s="1"/>
      <c r="K66" s="1"/>
      <c r="L66" s="1"/>
      <c r="M66" s="17">
        <f>M62</f>
        <v>16108645.141950002</v>
      </c>
      <c r="P66">
        <v>9</v>
      </c>
      <c r="Q66">
        <v>0</v>
      </c>
      <c r="X66" s="1"/>
      <c r="Y66" s="1"/>
      <c r="Z66" s="1"/>
      <c r="AA66" s="1"/>
      <c r="AB66" s="17"/>
    </row>
    <row r="67" spans="1:28" x14ac:dyDescent="0.3">
      <c r="A67" s="3" t="s">
        <v>9</v>
      </c>
      <c r="B67">
        <v>480</v>
      </c>
      <c r="P67">
        <v>9</v>
      </c>
      <c r="Q67">
        <v>1293</v>
      </c>
    </row>
    <row r="68" spans="1:28" x14ac:dyDescent="0.3">
      <c r="A68" s="3" t="s">
        <v>8</v>
      </c>
      <c r="B68">
        <f>B65*B66 /2</f>
        <v>8.9715500000000006</v>
      </c>
      <c r="P68">
        <v>10</v>
      </c>
      <c r="Q68">
        <v>0</v>
      </c>
    </row>
    <row r="69" spans="1:28" x14ac:dyDescent="0.3">
      <c r="P69">
        <v>10</v>
      </c>
      <c r="Q69">
        <v>1387</v>
      </c>
    </row>
    <row r="70" spans="1:28" x14ac:dyDescent="0.3">
      <c r="P70">
        <v>11</v>
      </c>
      <c r="Q70">
        <v>0</v>
      </c>
    </row>
    <row r="71" spans="1:28" x14ac:dyDescent="0.3">
      <c r="P71">
        <v>11</v>
      </c>
      <c r="Q71">
        <v>1406</v>
      </c>
    </row>
    <row r="72" spans="1:28" x14ac:dyDescent="0.3">
      <c r="P72">
        <v>12</v>
      </c>
      <c r="Q72">
        <v>0</v>
      </c>
    </row>
  </sheetData>
  <mergeCells count="2">
    <mergeCell ref="A49:A50"/>
    <mergeCell ref="B49:M49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MS653209 </vt:lpstr>
      <vt:lpstr>WS159847 </vt:lpstr>
      <vt:lpstr>AC693208</vt:lpstr>
      <vt:lpstr>AAE914763 </vt:lpstr>
      <vt:lpstr>ASP763504 </vt:lpstr>
      <vt:lpstr>ACEB405938 </vt:lpstr>
      <vt:lpstr>AAEB329176 </vt:lpstr>
      <vt:lpstr>LSS650478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2025-04-20T18:30:07Z</cp:lastPrinted>
  <dcterms:created xsi:type="dcterms:W3CDTF">2025-04-20T18:26:09Z</dcterms:created>
  <dcterms:modified xsi:type="dcterms:W3CDTF">2026-07-26T07:59:55Z</dcterms:modified>
</cp:coreProperties>
</file>
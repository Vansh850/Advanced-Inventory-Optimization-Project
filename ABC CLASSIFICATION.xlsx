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ANSH JINDAL\Desktop\Icons\Project File\"/>
    </mc:Choice>
  </mc:AlternateContent>
  <xr:revisionPtr revIDLastSave="0" documentId="13_ncr:1_{2049576A-C6BA-4F9D-91A7-D5C8DF51F9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2" r:id="rId1"/>
    <sheet name="Graph Data" sheetId="7" r:id="rId2"/>
    <sheet name="Final Graph" sheetId="8" r:id="rId3"/>
  </sheets>
  <definedNames>
    <definedName name="_xlnm._FilterDatabase" localSheetId="0" hidden="1">Data!$B$1:$F$90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3" i="2"/>
  <c r="K2" i="2"/>
  <c r="E96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3" i="2"/>
  <c r="F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2" i="2"/>
  <c r="E4" i="2"/>
  <c r="E2" i="2"/>
  <c r="E3" i="2"/>
  <c r="E6" i="2"/>
  <c r="E8" i="2"/>
  <c r="E11" i="2"/>
  <c r="E10" i="2"/>
  <c r="E9" i="2"/>
  <c r="E7" i="2"/>
  <c r="E5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G96" i="2"/>
  <c r="G91" i="2" l="1"/>
  <c r="G92" i="2"/>
  <c r="G93" i="2"/>
  <c r="G94" i="2"/>
  <c r="G95" i="2"/>
  <c r="G2" i="2"/>
  <c r="H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E93" i="2"/>
  <c r="E79" i="2"/>
  <c r="E56" i="2"/>
  <c r="E71" i="2"/>
  <c r="E50" i="2"/>
  <c r="E94" i="2"/>
  <c r="E58" i="2"/>
  <c r="E72" i="2"/>
  <c r="E63" i="2"/>
  <c r="E57" i="2"/>
  <c r="E85" i="2"/>
  <c r="E82" i="2"/>
  <c r="E80" i="2"/>
  <c r="E78" i="2"/>
  <c r="E74" i="2"/>
  <c r="E77" i="2"/>
  <c r="E51" i="2"/>
  <c r="E86" i="2"/>
  <c r="E91" i="2"/>
  <c r="E76" i="2"/>
  <c r="E87" i="2"/>
  <c r="E90" i="2"/>
  <c r="E61" i="2"/>
  <c r="E92" i="2"/>
  <c r="E68" i="2"/>
  <c r="E48" i="2"/>
  <c r="E59" i="2"/>
  <c r="E54" i="2"/>
  <c r="E89" i="2"/>
  <c r="E73" i="2"/>
  <c r="E60" i="2"/>
  <c r="E66" i="2"/>
  <c r="E67" i="2"/>
  <c r="E52" i="2"/>
  <c r="E62" i="2"/>
  <c r="E83" i="2"/>
  <c r="E81" i="2"/>
  <c r="E75" i="2"/>
  <c r="E65" i="2"/>
  <c r="E53" i="2"/>
  <c r="E88" i="2"/>
  <c r="E84" i="2"/>
  <c r="E64" i="2"/>
  <c r="E69" i="2"/>
  <c r="E49" i="2"/>
  <c r="E95" i="2"/>
  <c r="E55" i="2"/>
  <c r="E70" i="2"/>
  <c r="H3" i="2" l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E97" i="2"/>
</calcChain>
</file>

<file path=xl/sharedStrings.xml><?xml version="1.0" encoding="utf-8"?>
<sst xmlns="http://schemas.openxmlformats.org/spreadsheetml/2006/main" count="108" uniqueCount="106">
  <si>
    <t>S No.</t>
  </si>
  <si>
    <t>Unit Cost</t>
  </si>
  <si>
    <t>Annual Usage</t>
  </si>
  <si>
    <t>Category</t>
  </si>
  <si>
    <t xml:space="preserve"> Usage (in %)</t>
  </si>
  <si>
    <t>Quantity in %</t>
  </si>
  <si>
    <t>TRS274839</t>
  </si>
  <si>
    <t>AS918206</t>
  </si>
  <si>
    <t>CCMSCO527104</t>
  </si>
  <si>
    <t>CMPP364820</t>
  </si>
  <si>
    <t>XS701593</t>
  </si>
  <si>
    <t>MS145287</t>
  </si>
  <si>
    <t>SMP983215</t>
  </si>
  <si>
    <t>APS609438</t>
  </si>
  <si>
    <t>CBS320761</t>
  </si>
  <si>
    <t>AF872954</t>
  </si>
  <si>
    <t>CCMSMS476302</t>
  </si>
  <si>
    <t>AS512609</t>
  </si>
  <si>
    <t>ABHT394725</t>
  </si>
  <si>
    <t>NPS685102</t>
  </si>
  <si>
    <t>AG907346</t>
  </si>
  <si>
    <t>GS258931</t>
  </si>
  <si>
    <t>ASP763504</t>
  </si>
  <si>
    <t>SSM130289</t>
  </si>
  <si>
    <t>RS849672</t>
  </si>
  <si>
    <t>CMV302157</t>
  </si>
  <si>
    <t>AGL579318</t>
  </si>
  <si>
    <t>LSS940685</t>
  </si>
  <si>
    <t>AF236791</t>
  </si>
  <si>
    <t>LRS805432</t>
  </si>
  <si>
    <t>STCS621890</t>
  </si>
  <si>
    <t>SS453209</t>
  </si>
  <si>
    <t>AFROM712345</t>
  </si>
  <si>
    <t>AAEB329176</t>
  </si>
  <si>
    <t>ASB569083</t>
  </si>
  <si>
    <t>DF197632</t>
  </si>
  <si>
    <t>CS468250</t>
  </si>
  <si>
    <t>DCM905817</t>
  </si>
  <si>
    <t>TT384920</t>
  </si>
  <si>
    <t>SCTWL746302</t>
  </si>
  <si>
    <t>WS159847</t>
  </si>
  <si>
    <t>MMS248309</t>
  </si>
  <si>
    <t>ACD873215</t>
  </si>
  <si>
    <t>DAMB365802</t>
  </si>
  <si>
    <t>AAE914763</t>
  </si>
  <si>
    <t>LP507831</t>
  </si>
  <si>
    <t>SS629104</t>
  </si>
  <si>
    <t>TPS803214</t>
  </si>
  <si>
    <t>DAM736592</t>
  </si>
  <si>
    <t>PS158490</t>
  </si>
  <si>
    <t>PS689037</t>
  </si>
  <si>
    <t>BS274608</t>
  </si>
  <si>
    <t>MASP975104</t>
  </si>
  <si>
    <t>AA320589</t>
  </si>
  <si>
    <t>CRM841236</t>
  </si>
  <si>
    <t>ADEB590147</t>
  </si>
  <si>
    <t>H731604</t>
  </si>
  <si>
    <t>AS296813</t>
  </si>
  <si>
    <t>TPS874502</t>
  </si>
  <si>
    <t>MS653209</t>
  </si>
  <si>
    <t>LS407592</t>
  </si>
  <si>
    <t>SS915870</t>
  </si>
  <si>
    <t>ISMC328615</t>
  </si>
  <si>
    <t>BMP746238</t>
  </si>
  <si>
    <t>LSS290453</t>
  </si>
  <si>
    <t>AD819206</t>
  </si>
  <si>
    <t>RS503821</t>
  </si>
  <si>
    <t>SCP642917</t>
  </si>
  <si>
    <t>CLLB874509</t>
  </si>
  <si>
    <t>CMP309182</t>
  </si>
  <si>
    <t>LSS650478</t>
  </si>
  <si>
    <t>AD738210</t>
  </si>
  <si>
    <t>ADM591827</t>
  </si>
  <si>
    <t>ACEB405938</t>
  </si>
  <si>
    <t>ACISB917634</t>
  </si>
  <si>
    <t>LS508493</t>
  </si>
  <si>
    <t>LPSC726341</t>
  </si>
  <si>
    <t>AC731028</t>
  </si>
  <si>
    <t>HS495307</t>
  </si>
  <si>
    <t>ASRM928150</t>
  </si>
  <si>
    <t>CS680412</t>
  </si>
  <si>
    <t>RPS357109</t>
  </si>
  <si>
    <t>PGS407218</t>
  </si>
  <si>
    <t>WS590634</t>
  </si>
  <si>
    <t>RPS872503</t>
  </si>
  <si>
    <t>HP913205</t>
  </si>
  <si>
    <t>RS746301</t>
  </si>
  <si>
    <t>MLS502894</t>
  </si>
  <si>
    <t>AS620589</t>
  </si>
  <si>
    <t>RS831407</t>
  </si>
  <si>
    <t>ADM429715</t>
  </si>
  <si>
    <t>LS958701</t>
  </si>
  <si>
    <t>SS146328</t>
  </si>
  <si>
    <t>MMS307914</t>
  </si>
  <si>
    <t>RCT869150</t>
  </si>
  <si>
    <t>GS401295</t>
  </si>
  <si>
    <t>AC693208</t>
  </si>
  <si>
    <t>MM927513</t>
  </si>
  <si>
    <t>APS354809</t>
  </si>
  <si>
    <t>AB738205</t>
  </si>
  <si>
    <t>SS109284</t>
  </si>
  <si>
    <t xml:space="preserve"> Cummulative Item (in%)</t>
  </si>
  <si>
    <t>Cummulative Value(in%)</t>
  </si>
  <si>
    <t>Item Code</t>
  </si>
  <si>
    <t>Demand</t>
  </si>
  <si>
    <t xml:space="preserve">  ABC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</si>
</sst>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64" fontId="1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left"/>
    </xf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Algerian" panose="04020705040A02060702" pitchFamily="82" charset="0"/>
              </a:rPr>
              <a:t>ABC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53826983748249E-2"/>
          <c:y val="8.7127084801503413E-2"/>
          <c:w val="0.89361250298258177"/>
          <c:h val="0.858378511354156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'Graph Data'!$B$1</c:f>
              <c:strCache>
                <c:ptCount val="1"/>
                <c:pt idx="0">
                  <c:v>Cummulative Value(in%)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'Graph 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1.0526315789473684</c:v>
                </c:pt>
                <c:pt idx="2">
                  <c:v>2.1052631578947367</c:v>
                </c:pt>
                <c:pt idx="3">
                  <c:v>3.1578947368421053</c:v>
                </c:pt>
                <c:pt idx="4">
                  <c:v>4.2105263157894735</c:v>
                </c:pt>
                <c:pt idx="5">
                  <c:v>5.2631578947368416</c:v>
                </c:pt>
                <c:pt idx="6">
                  <c:v>6.3157894736842097</c:v>
                </c:pt>
                <c:pt idx="7">
                  <c:v>7.3684210526315779</c:v>
                </c:pt>
                <c:pt idx="8">
                  <c:v>8.4210526315789469</c:v>
                </c:pt>
                <c:pt idx="9">
                  <c:v>9.473684210526315</c:v>
                </c:pt>
                <c:pt idx="10">
                  <c:v>10.526315789473683</c:v>
                </c:pt>
                <c:pt idx="11">
                  <c:v>11.578947368421051</c:v>
                </c:pt>
                <c:pt idx="12">
                  <c:v>12.631578947368419</c:v>
                </c:pt>
                <c:pt idx="13">
                  <c:v>13.684210526315788</c:v>
                </c:pt>
                <c:pt idx="14">
                  <c:v>14.736842105263156</c:v>
                </c:pt>
                <c:pt idx="15">
                  <c:v>15.789473684210524</c:v>
                </c:pt>
                <c:pt idx="16">
                  <c:v>16.842105263157894</c:v>
                </c:pt>
                <c:pt idx="17">
                  <c:v>17.894736842105264</c:v>
                </c:pt>
                <c:pt idx="18">
                  <c:v>18.947368421052634</c:v>
                </c:pt>
                <c:pt idx="19">
                  <c:v>20.000000000000004</c:v>
                </c:pt>
                <c:pt idx="20">
                  <c:v>21.052631578947373</c:v>
                </c:pt>
                <c:pt idx="21">
                  <c:v>22.105263157894743</c:v>
                </c:pt>
                <c:pt idx="22">
                  <c:v>23.157894736842113</c:v>
                </c:pt>
                <c:pt idx="23">
                  <c:v>24.210526315789483</c:v>
                </c:pt>
                <c:pt idx="24">
                  <c:v>25.263157894736853</c:v>
                </c:pt>
                <c:pt idx="25">
                  <c:v>26.315789473684223</c:v>
                </c:pt>
                <c:pt idx="26">
                  <c:v>27.368421052631593</c:v>
                </c:pt>
                <c:pt idx="27">
                  <c:v>28.421052631578963</c:v>
                </c:pt>
                <c:pt idx="28">
                  <c:v>29.473684210526333</c:v>
                </c:pt>
                <c:pt idx="29">
                  <c:v>30.526315789473703</c:v>
                </c:pt>
                <c:pt idx="30">
                  <c:v>31.578947368421073</c:v>
                </c:pt>
                <c:pt idx="31">
                  <c:v>32.631578947368439</c:v>
                </c:pt>
                <c:pt idx="32">
                  <c:v>33.684210526315809</c:v>
                </c:pt>
                <c:pt idx="33">
                  <c:v>34.736842105263179</c:v>
                </c:pt>
                <c:pt idx="34">
                  <c:v>35.789473684210549</c:v>
                </c:pt>
                <c:pt idx="35">
                  <c:v>36.842105263157919</c:v>
                </c:pt>
                <c:pt idx="36">
                  <c:v>37.894736842105289</c:v>
                </c:pt>
                <c:pt idx="37">
                  <c:v>38.947368421052659</c:v>
                </c:pt>
                <c:pt idx="38">
                  <c:v>40.000000000000028</c:v>
                </c:pt>
                <c:pt idx="39">
                  <c:v>41.052631578947398</c:v>
                </c:pt>
                <c:pt idx="40">
                  <c:v>42.105263157894768</c:v>
                </c:pt>
                <c:pt idx="41">
                  <c:v>43.157894736842138</c:v>
                </c:pt>
                <c:pt idx="42">
                  <c:v>44.210526315789508</c:v>
                </c:pt>
                <c:pt idx="43">
                  <c:v>45.263157894736878</c:v>
                </c:pt>
                <c:pt idx="44">
                  <c:v>46.315789473684248</c:v>
                </c:pt>
                <c:pt idx="45">
                  <c:v>47.368421052631618</c:v>
                </c:pt>
                <c:pt idx="46">
                  <c:v>48.421052631578988</c:v>
                </c:pt>
                <c:pt idx="47">
                  <c:v>49.473684210526358</c:v>
                </c:pt>
                <c:pt idx="48">
                  <c:v>50.526315789473728</c:v>
                </c:pt>
                <c:pt idx="49">
                  <c:v>51.578947368421098</c:v>
                </c:pt>
                <c:pt idx="50">
                  <c:v>52.631578947368467</c:v>
                </c:pt>
                <c:pt idx="51">
                  <c:v>53.684210526315837</c:v>
                </c:pt>
                <c:pt idx="52">
                  <c:v>54.736842105263207</c:v>
                </c:pt>
                <c:pt idx="53">
                  <c:v>55.789473684210577</c:v>
                </c:pt>
                <c:pt idx="54">
                  <c:v>56.842105263157947</c:v>
                </c:pt>
                <c:pt idx="55">
                  <c:v>57.894736842105317</c:v>
                </c:pt>
                <c:pt idx="56">
                  <c:v>58.947368421052687</c:v>
                </c:pt>
                <c:pt idx="57">
                  <c:v>60.000000000000057</c:v>
                </c:pt>
                <c:pt idx="58">
                  <c:v>61.052631578947427</c:v>
                </c:pt>
                <c:pt idx="59">
                  <c:v>62.105263157894797</c:v>
                </c:pt>
                <c:pt idx="60">
                  <c:v>63.157894736842167</c:v>
                </c:pt>
                <c:pt idx="61">
                  <c:v>64.210526315789537</c:v>
                </c:pt>
                <c:pt idx="62">
                  <c:v>65.263157894736906</c:v>
                </c:pt>
                <c:pt idx="63">
                  <c:v>66.315789473684276</c:v>
                </c:pt>
                <c:pt idx="64">
                  <c:v>67.368421052631646</c:v>
                </c:pt>
                <c:pt idx="65">
                  <c:v>68.421052631579016</c:v>
                </c:pt>
                <c:pt idx="66">
                  <c:v>69.473684210526386</c:v>
                </c:pt>
                <c:pt idx="67">
                  <c:v>70.526315789473756</c:v>
                </c:pt>
                <c:pt idx="68">
                  <c:v>71.578947368421126</c:v>
                </c:pt>
                <c:pt idx="69">
                  <c:v>72.631578947368496</c:v>
                </c:pt>
                <c:pt idx="70">
                  <c:v>73.684210526315866</c:v>
                </c:pt>
                <c:pt idx="71">
                  <c:v>74.736842105263236</c:v>
                </c:pt>
                <c:pt idx="72">
                  <c:v>75.789473684210606</c:v>
                </c:pt>
                <c:pt idx="73">
                  <c:v>76.842105263157976</c:v>
                </c:pt>
                <c:pt idx="74">
                  <c:v>77.894736842105345</c:v>
                </c:pt>
                <c:pt idx="75">
                  <c:v>78.947368421052715</c:v>
                </c:pt>
                <c:pt idx="76">
                  <c:v>80.000000000000085</c:v>
                </c:pt>
                <c:pt idx="77">
                  <c:v>81.052631578947455</c:v>
                </c:pt>
                <c:pt idx="78">
                  <c:v>82.105263157894825</c:v>
                </c:pt>
                <c:pt idx="79">
                  <c:v>83.157894736842195</c:v>
                </c:pt>
                <c:pt idx="80">
                  <c:v>84.210526315789565</c:v>
                </c:pt>
                <c:pt idx="81">
                  <c:v>85.263157894736935</c:v>
                </c:pt>
                <c:pt idx="82">
                  <c:v>86.315789473684305</c:v>
                </c:pt>
                <c:pt idx="83">
                  <c:v>87.368421052631675</c:v>
                </c:pt>
                <c:pt idx="84">
                  <c:v>88.421052631579045</c:v>
                </c:pt>
                <c:pt idx="85">
                  <c:v>89.473684210526415</c:v>
                </c:pt>
                <c:pt idx="86">
                  <c:v>90.526315789473784</c:v>
                </c:pt>
                <c:pt idx="87">
                  <c:v>91.578947368421154</c:v>
                </c:pt>
                <c:pt idx="88">
                  <c:v>92.631578947368524</c:v>
                </c:pt>
                <c:pt idx="89">
                  <c:v>93.684210526315894</c:v>
                </c:pt>
                <c:pt idx="90">
                  <c:v>94.736842105263264</c:v>
                </c:pt>
                <c:pt idx="91">
                  <c:v>95.789473684210634</c:v>
                </c:pt>
                <c:pt idx="92">
                  <c:v>96.842105263158004</c:v>
                </c:pt>
                <c:pt idx="93">
                  <c:v>97.894736842105374</c:v>
                </c:pt>
                <c:pt idx="94">
                  <c:v>98.947368421052744</c:v>
                </c:pt>
                <c:pt idx="95">
                  <c:v>100.00000000000011</c:v>
                </c:pt>
              </c:numCache>
            </c:numRef>
          </c:xVal>
          <c:yVal>
            <c:numRef>
              <c:f>'Graph Data'!$B$2:$B$97</c:f>
              <c:numCache>
                <c:formatCode>0.00%</c:formatCode>
                <c:ptCount val="96"/>
                <c:pt idx="0">
                  <c:v>0</c:v>
                </c:pt>
                <c:pt idx="1">
                  <c:v>7.6180167873210053E-2</c:v>
                </c:pt>
                <c:pt idx="2">
                  <c:v>0.17587758139838797</c:v>
                </c:pt>
                <c:pt idx="3">
                  <c:v>0.29028770806372473</c:v>
                </c:pt>
                <c:pt idx="4">
                  <c:v>0.37710818006040636</c:v>
                </c:pt>
                <c:pt idx="5">
                  <c:v>0.44108655784375406</c:v>
                </c:pt>
                <c:pt idx="6">
                  <c:v>0.50012463338721225</c:v>
                </c:pt>
                <c:pt idx="7">
                  <c:v>0.56166164631266102</c:v>
                </c:pt>
                <c:pt idx="8">
                  <c:v>0.60141223195585769</c:v>
                </c:pt>
                <c:pt idx="9">
                  <c:v>0.6194208001538003</c:v>
                </c:pt>
                <c:pt idx="10">
                  <c:v>0.63330135392277187</c:v>
                </c:pt>
                <c:pt idx="11">
                  <c:v>0.64700388253346552</c:v>
                </c:pt>
                <c:pt idx="12">
                  <c:v>0.66009525074355058</c:v>
                </c:pt>
                <c:pt idx="13">
                  <c:v>0.67208316421061198</c:v>
                </c:pt>
                <c:pt idx="14">
                  <c:v>0.68372760251415576</c:v>
                </c:pt>
                <c:pt idx="15">
                  <c:v>0.69473337590592832</c:v>
                </c:pt>
                <c:pt idx="16">
                  <c:v>0.70275229579483989</c:v>
                </c:pt>
                <c:pt idx="17">
                  <c:v>0.70934476064398844</c:v>
                </c:pt>
                <c:pt idx="18">
                  <c:v>0.71584853722322728</c:v>
                </c:pt>
                <c:pt idx="19">
                  <c:v>0.72230654339855771</c:v>
                </c:pt>
                <c:pt idx="20">
                  <c:v>0.72862963227159228</c:v>
                </c:pt>
                <c:pt idx="21">
                  <c:v>0.73468398282278957</c:v>
                </c:pt>
                <c:pt idx="22">
                  <c:v>0.74048322706246961</c:v>
                </c:pt>
                <c:pt idx="23">
                  <c:v>0.74624074380485117</c:v>
                </c:pt>
                <c:pt idx="24">
                  <c:v>0.75196205765322099</c:v>
                </c:pt>
                <c:pt idx="25">
                  <c:v>0.7575911075277505</c:v>
                </c:pt>
                <c:pt idx="26">
                  <c:v>0.76321666953212841</c:v>
                </c:pt>
                <c:pt idx="27">
                  <c:v>0.76871575051054597</c:v>
                </c:pt>
                <c:pt idx="28">
                  <c:v>0.77418197674869893</c:v>
                </c:pt>
                <c:pt idx="29">
                  <c:v>0.77958140660182251</c:v>
                </c:pt>
                <c:pt idx="30">
                  <c:v>0.78484819761211411</c:v>
                </c:pt>
                <c:pt idx="31">
                  <c:v>0.79006197699739666</c:v>
                </c:pt>
                <c:pt idx="32">
                  <c:v>0.79519091288317589</c:v>
                </c:pt>
                <c:pt idx="33">
                  <c:v>0.80021417527803473</c:v>
                </c:pt>
                <c:pt idx="34">
                  <c:v>0.80523033100791608</c:v>
                </c:pt>
                <c:pt idx="35">
                  <c:v>0.81023227668350739</c:v>
                </c:pt>
                <c:pt idx="36">
                  <c:v>0.81520999864246135</c:v>
                </c:pt>
                <c:pt idx="37">
                  <c:v>0.82018761282014863</c:v>
                </c:pt>
                <c:pt idx="38">
                  <c:v>0.82514711410582109</c:v>
                </c:pt>
                <c:pt idx="39">
                  <c:v>0.83007794256314738</c:v>
                </c:pt>
                <c:pt idx="40">
                  <c:v>0.83492791255372523</c:v>
                </c:pt>
                <c:pt idx="41">
                  <c:v>0.83969708246857022</c:v>
                </c:pt>
                <c:pt idx="42">
                  <c:v>0.84439994863347478</c:v>
                </c:pt>
                <c:pt idx="43">
                  <c:v>0.84894669707377324</c:v>
                </c:pt>
                <c:pt idx="44">
                  <c:v>0.85344025910530164</c:v>
                </c:pt>
                <c:pt idx="45">
                  <c:v>0.85788316166383638</c:v>
                </c:pt>
                <c:pt idx="46">
                  <c:v>0.86231748305189138</c:v>
                </c:pt>
                <c:pt idx="47">
                  <c:v>0.86668660797138808</c:v>
                </c:pt>
                <c:pt idx="48">
                  <c:v>0.8710540636626275</c:v>
                </c:pt>
                <c:pt idx="49">
                  <c:v>0.87533590221186308</c:v>
                </c:pt>
                <c:pt idx="50">
                  <c:v>0.87950092652146361</c:v>
                </c:pt>
                <c:pt idx="51">
                  <c:v>0.88342278155446818</c:v>
                </c:pt>
                <c:pt idx="52">
                  <c:v>0.88729853288064853</c:v>
                </c:pt>
                <c:pt idx="53">
                  <c:v>0.89100354428067763</c:v>
                </c:pt>
                <c:pt idx="54">
                  <c:v>0.89470065059104464</c:v>
                </c:pt>
                <c:pt idx="55">
                  <c:v>0.89836852370173714</c:v>
                </c:pt>
                <c:pt idx="56">
                  <c:v>0.90195496657275498</c:v>
                </c:pt>
                <c:pt idx="57">
                  <c:v>0.9054857926190385</c:v>
                </c:pt>
                <c:pt idx="58">
                  <c:v>0.90888234617922181</c:v>
                </c:pt>
                <c:pt idx="59">
                  <c:v>0.91219782925050275</c:v>
                </c:pt>
                <c:pt idx="60">
                  <c:v>0.91540516384896342</c:v>
                </c:pt>
                <c:pt idx="61">
                  <c:v>0.91856929152357625</c:v>
                </c:pt>
                <c:pt idx="62">
                  <c:v>0.92169266201163247</c:v>
                </c:pt>
                <c:pt idx="63">
                  <c:v>0.92478943972328242</c:v>
                </c:pt>
                <c:pt idx="64">
                  <c:v>0.92783300916197209</c:v>
                </c:pt>
                <c:pt idx="65">
                  <c:v>0.93084564784072932</c:v>
                </c:pt>
                <c:pt idx="66">
                  <c:v>0.93383544676231056</c:v>
                </c:pt>
                <c:pt idx="67">
                  <c:v>0.93678146300271636</c:v>
                </c:pt>
                <c:pt idx="68">
                  <c:v>0.93971215374707129</c:v>
                </c:pt>
                <c:pt idx="69">
                  <c:v>0.94263679862047389</c:v>
                </c:pt>
                <c:pt idx="70">
                  <c:v>0.94551778090814598</c:v>
                </c:pt>
                <c:pt idx="71">
                  <c:v>0.94828768148539155</c:v>
                </c:pt>
                <c:pt idx="72">
                  <c:v>0.95028768148539156</c:v>
                </c:pt>
                <c:pt idx="73">
                  <c:v>0.95228768148539156</c:v>
                </c:pt>
                <c:pt idx="74">
                  <c:v>0.95438768148539155</c:v>
                </c:pt>
                <c:pt idx="75">
                  <c:v>0.95658768148539153</c:v>
                </c:pt>
                <c:pt idx="76">
                  <c:v>0.9588876814853915</c:v>
                </c:pt>
                <c:pt idx="77">
                  <c:v>0.96128768148539145</c:v>
                </c:pt>
                <c:pt idx="78">
                  <c:v>0.96384539721553919</c:v>
                </c:pt>
                <c:pt idx="79">
                  <c:v>0.96627487133429779</c:v>
                </c:pt>
                <c:pt idx="80">
                  <c:v>0.96869485071888373</c:v>
                </c:pt>
                <c:pt idx="81">
                  <c:v>0.97107563143222608</c:v>
                </c:pt>
                <c:pt idx="82">
                  <c:v>0.97327022139544517</c:v>
                </c:pt>
                <c:pt idx="83">
                  <c:v>0.97542662947655412</c:v>
                </c:pt>
                <c:pt idx="84">
                  <c:v>0.97758006411837084</c:v>
                </c:pt>
                <c:pt idx="85">
                  <c:v>0.979731957825975</c:v>
                </c:pt>
                <c:pt idx="86">
                  <c:v>0.98185033048994619</c:v>
                </c:pt>
                <c:pt idx="87">
                  <c:v>0.98390640779955529</c:v>
                </c:pt>
                <c:pt idx="88">
                  <c:v>0.98593377295773976</c:v>
                </c:pt>
                <c:pt idx="89">
                  <c:v>0.98793895455861092</c:v>
                </c:pt>
                <c:pt idx="90">
                  <c:v>0.98985799075729197</c:v>
                </c:pt>
                <c:pt idx="91">
                  <c:v>0.99174301528549502</c:v>
                </c:pt>
                <c:pt idx="92">
                  <c:v>0.9931052073494776</c:v>
                </c:pt>
                <c:pt idx="93">
                  <c:v>0.9943817748943683</c:v>
                </c:pt>
                <c:pt idx="94">
                  <c:v>0.99563681243277591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8-4E59-B075-06C8D6ABC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776863"/>
        <c:axId val="1053775903"/>
      </c:scatterChart>
      <c:valAx>
        <c:axId val="1053776863"/>
        <c:scaling>
          <c:orientation val="minMax"/>
          <c:max val="10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Cummulative % Items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75903"/>
        <c:crosses val="autoZero"/>
        <c:crossBetween val="midCat"/>
        <c:majorUnit val="10"/>
      </c:valAx>
      <c:valAx>
        <c:axId val="1053775903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Cummulative %</a:t>
                </a:r>
                <a:r>
                  <a:rPr lang="en-IN" baseline="0"/>
                  <a:t> of Annual Usage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7686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Algerian" panose="04020705040A02060702" pitchFamily="82" charset="0"/>
              </a:rPr>
              <a:t>ABC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53826983748249E-2"/>
          <c:y val="8.7127084801503413E-2"/>
          <c:w val="0.89361250298258177"/>
          <c:h val="0.858378511354156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'Graph Data'!$B$1</c:f>
              <c:strCache>
                <c:ptCount val="1"/>
                <c:pt idx="0">
                  <c:v>Cummulative Value(in%)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'Graph 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1.0526315789473684</c:v>
                </c:pt>
                <c:pt idx="2">
                  <c:v>2.1052631578947367</c:v>
                </c:pt>
                <c:pt idx="3">
                  <c:v>3.1578947368421053</c:v>
                </c:pt>
                <c:pt idx="4">
                  <c:v>4.2105263157894735</c:v>
                </c:pt>
                <c:pt idx="5">
                  <c:v>5.2631578947368416</c:v>
                </c:pt>
                <c:pt idx="6">
                  <c:v>6.3157894736842097</c:v>
                </c:pt>
                <c:pt idx="7">
                  <c:v>7.3684210526315779</c:v>
                </c:pt>
                <c:pt idx="8">
                  <c:v>8.4210526315789469</c:v>
                </c:pt>
                <c:pt idx="9">
                  <c:v>9.473684210526315</c:v>
                </c:pt>
                <c:pt idx="10">
                  <c:v>10.526315789473683</c:v>
                </c:pt>
                <c:pt idx="11">
                  <c:v>11.578947368421051</c:v>
                </c:pt>
                <c:pt idx="12">
                  <c:v>12.631578947368419</c:v>
                </c:pt>
                <c:pt idx="13">
                  <c:v>13.684210526315788</c:v>
                </c:pt>
                <c:pt idx="14">
                  <c:v>14.736842105263156</c:v>
                </c:pt>
                <c:pt idx="15">
                  <c:v>15.789473684210524</c:v>
                </c:pt>
                <c:pt idx="16">
                  <c:v>16.842105263157894</c:v>
                </c:pt>
                <c:pt idx="17">
                  <c:v>17.894736842105264</c:v>
                </c:pt>
                <c:pt idx="18">
                  <c:v>18.947368421052634</c:v>
                </c:pt>
                <c:pt idx="19">
                  <c:v>20.000000000000004</c:v>
                </c:pt>
                <c:pt idx="20">
                  <c:v>21.052631578947373</c:v>
                </c:pt>
                <c:pt idx="21">
                  <c:v>22.105263157894743</c:v>
                </c:pt>
                <c:pt idx="22">
                  <c:v>23.157894736842113</c:v>
                </c:pt>
                <c:pt idx="23">
                  <c:v>24.210526315789483</c:v>
                </c:pt>
                <c:pt idx="24">
                  <c:v>25.263157894736853</c:v>
                </c:pt>
                <c:pt idx="25">
                  <c:v>26.315789473684223</c:v>
                </c:pt>
                <c:pt idx="26">
                  <c:v>27.368421052631593</c:v>
                </c:pt>
                <c:pt idx="27">
                  <c:v>28.421052631578963</c:v>
                </c:pt>
                <c:pt idx="28">
                  <c:v>29.473684210526333</c:v>
                </c:pt>
                <c:pt idx="29">
                  <c:v>30.526315789473703</c:v>
                </c:pt>
                <c:pt idx="30">
                  <c:v>31.578947368421073</c:v>
                </c:pt>
                <c:pt idx="31">
                  <c:v>32.631578947368439</c:v>
                </c:pt>
                <c:pt idx="32">
                  <c:v>33.684210526315809</c:v>
                </c:pt>
                <c:pt idx="33">
                  <c:v>34.736842105263179</c:v>
                </c:pt>
                <c:pt idx="34">
                  <c:v>35.789473684210549</c:v>
                </c:pt>
                <c:pt idx="35">
                  <c:v>36.842105263157919</c:v>
                </c:pt>
                <c:pt idx="36">
                  <c:v>37.894736842105289</c:v>
                </c:pt>
                <c:pt idx="37">
                  <c:v>38.947368421052659</c:v>
                </c:pt>
                <c:pt idx="38">
                  <c:v>40.000000000000028</c:v>
                </c:pt>
                <c:pt idx="39">
                  <c:v>41.052631578947398</c:v>
                </c:pt>
                <c:pt idx="40">
                  <c:v>42.105263157894768</c:v>
                </c:pt>
                <c:pt idx="41">
                  <c:v>43.157894736842138</c:v>
                </c:pt>
                <c:pt idx="42">
                  <c:v>44.210526315789508</c:v>
                </c:pt>
                <c:pt idx="43">
                  <c:v>45.263157894736878</c:v>
                </c:pt>
                <c:pt idx="44">
                  <c:v>46.315789473684248</c:v>
                </c:pt>
                <c:pt idx="45">
                  <c:v>47.368421052631618</c:v>
                </c:pt>
                <c:pt idx="46">
                  <c:v>48.421052631578988</c:v>
                </c:pt>
                <c:pt idx="47">
                  <c:v>49.473684210526358</c:v>
                </c:pt>
                <c:pt idx="48">
                  <c:v>50.526315789473728</c:v>
                </c:pt>
                <c:pt idx="49">
                  <c:v>51.578947368421098</c:v>
                </c:pt>
                <c:pt idx="50">
                  <c:v>52.631578947368467</c:v>
                </c:pt>
                <c:pt idx="51">
                  <c:v>53.684210526315837</c:v>
                </c:pt>
                <c:pt idx="52">
                  <c:v>54.736842105263207</c:v>
                </c:pt>
                <c:pt idx="53">
                  <c:v>55.789473684210577</c:v>
                </c:pt>
                <c:pt idx="54">
                  <c:v>56.842105263157947</c:v>
                </c:pt>
                <c:pt idx="55">
                  <c:v>57.894736842105317</c:v>
                </c:pt>
                <c:pt idx="56">
                  <c:v>58.947368421052687</c:v>
                </c:pt>
                <c:pt idx="57">
                  <c:v>60.000000000000057</c:v>
                </c:pt>
                <c:pt idx="58">
                  <c:v>61.052631578947427</c:v>
                </c:pt>
                <c:pt idx="59">
                  <c:v>62.105263157894797</c:v>
                </c:pt>
                <c:pt idx="60">
                  <c:v>63.157894736842167</c:v>
                </c:pt>
                <c:pt idx="61">
                  <c:v>64.210526315789537</c:v>
                </c:pt>
                <c:pt idx="62">
                  <c:v>65.263157894736906</c:v>
                </c:pt>
                <c:pt idx="63">
                  <c:v>66.315789473684276</c:v>
                </c:pt>
                <c:pt idx="64">
                  <c:v>67.368421052631646</c:v>
                </c:pt>
                <c:pt idx="65">
                  <c:v>68.421052631579016</c:v>
                </c:pt>
                <c:pt idx="66">
                  <c:v>69.473684210526386</c:v>
                </c:pt>
                <c:pt idx="67">
                  <c:v>70.526315789473756</c:v>
                </c:pt>
                <c:pt idx="68">
                  <c:v>71.578947368421126</c:v>
                </c:pt>
                <c:pt idx="69">
                  <c:v>72.631578947368496</c:v>
                </c:pt>
                <c:pt idx="70">
                  <c:v>73.684210526315866</c:v>
                </c:pt>
                <c:pt idx="71">
                  <c:v>74.736842105263236</c:v>
                </c:pt>
                <c:pt idx="72">
                  <c:v>75.789473684210606</c:v>
                </c:pt>
                <c:pt idx="73">
                  <c:v>76.842105263157976</c:v>
                </c:pt>
                <c:pt idx="74">
                  <c:v>77.894736842105345</c:v>
                </c:pt>
                <c:pt idx="75">
                  <c:v>78.947368421052715</c:v>
                </c:pt>
                <c:pt idx="76">
                  <c:v>80.000000000000085</c:v>
                </c:pt>
                <c:pt idx="77">
                  <c:v>81.052631578947455</c:v>
                </c:pt>
                <c:pt idx="78">
                  <c:v>82.105263157894825</c:v>
                </c:pt>
                <c:pt idx="79">
                  <c:v>83.157894736842195</c:v>
                </c:pt>
                <c:pt idx="80">
                  <c:v>84.210526315789565</c:v>
                </c:pt>
                <c:pt idx="81">
                  <c:v>85.263157894736935</c:v>
                </c:pt>
                <c:pt idx="82">
                  <c:v>86.315789473684305</c:v>
                </c:pt>
                <c:pt idx="83">
                  <c:v>87.368421052631675</c:v>
                </c:pt>
                <c:pt idx="84">
                  <c:v>88.421052631579045</c:v>
                </c:pt>
                <c:pt idx="85">
                  <c:v>89.473684210526415</c:v>
                </c:pt>
                <c:pt idx="86">
                  <c:v>90.526315789473784</c:v>
                </c:pt>
                <c:pt idx="87">
                  <c:v>91.578947368421154</c:v>
                </c:pt>
                <c:pt idx="88">
                  <c:v>92.631578947368524</c:v>
                </c:pt>
                <c:pt idx="89">
                  <c:v>93.684210526315894</c:v>
                </c:pt>
                <c:pt idx="90">
                  <c:v>94.736842105263264</c:v>
                </c:pt>
                <c:pt idx="91">
                  <c:v>95.789473684210634</c:v>
                </c:pt>
                <c:pt idx="92">
                  <c:v>96.842105263158004</c:v>
                </c:pt>
                <c:pt idx="93">
                  <c:v>97.894736842105374</c:v>
                </c:pt>
                <c:pt idx="94">
                  <c:v>98.947368421052744</c:v>
                </c:pt>
                <c:pt idx="95">
                  <c:v>100.00000000000011</c:v>
                </c:pt>
              </c:numCache>
            </c:numRef>
          </c:xVal>
          <c:yVal>
            <c:numRef>
              <c:f>'Graph Data'!$B$2:$B$97</c:f>
              <c:numCache>
                <c:formatCode>0.00%</c:formatCode>
                <c:ptCount val="96"/>
                <c:pt idx="0">
                  <c:v>0</c:v>
                </c:pt>
                <c:pt idx="1">
                  <c:v>7.6180167873210053E-2</c:v>
                </c:pt>
                <c:pt idx="2">
                  <c:v>0.17587758139838797</c:v>
                </c:pt>
                <c:pt idx="3">
                  <c:v>0.29028770806372473</c:v>
                </c:pt>
                <c:pt idx="4">
                  <c:v>0.37710818006040636</c:v>
                </c:pt>
                <c:pt idx="5">
                  <c:v>0.44108655784375406</c:v>
                </c:pt>
                <c:pt idx="6">
                  <c:v>0.50012463338721225</c:v>
                </c:pt>
                <c:pt idx="7">
                  <c:v>0.56166164631266102</c:v>
                </c:pt>
                <c:pt idx="8">
                  <c:v>0.60141223195585769</c:v>
                </c:pt>
                <c:pt idx="9">
                  <c:v>0.6194208001538003</c:v>
                </c:pt>
                <c:pt idx="10">
                  <c:v>0.63330135392277187</c:v>
                </c:pt>
                <c:pt idx="11">
                  <c:v>0.64700388253346552</c:v>
                </c:pt>
                <c:pt idx="12">
                  <c:v>0.66009525074355058</c:v>
                </c:pt>
                <c:pt idx="13">
                  <c:v>0.67208316421061198</c:v>
                </c:pt>
                <c:pt idx="14">
                  <c:v>0.68372760251415576</c:v>
                </c:pt>
                <c:pt idx="15">
                  <c:v>0.69473337590592832</c:v>
                </c:pt>
                <c:pt idx="16">
                  <c:v>0.70275229579483989</c:v>
                </c:pt>
                <c:pt idx="17">
                  <c:v>0.70934476064398844</c:v>
                </c:pt>
                <c:pt idx="18">
                  <c:v>0.71584853722322728</c:v>
                </c:pt>
                <c:pt idx="19">
                  <c:v>0.72230654339855771</c:v>
                </c:pt>
                <c:pt idx="20">
                  <c:v>0.72862963227159228</c:v>
                </c:pt>
                <c:pt idx="21">
                  <c:v>0.73468398282278957</c:v>
                </c:pt>
                <c:pt idx="22">
                  <c:v>0.74048322706246961</c:v>
                </c:pt>
                <c:pt idx="23">
                  <c:v>0.74624074380485117</c:v>
                </c:pt>
                <c:pt idx="24">
                  <c:v>0.75196205765322099</c:v>
                </c:pt>
                <c:pt idx="25">
                  <c:v>0.7575911075277505</c:v>
                </c:pt>
                <c:pt idx="26">
                  <c:v>0.76321666953212841</c:v>
                </c:pt>
                <c:pt idx="27">
                  <c:v>0.76871575051054597</c:v>
                </c:pt>
                <c:pt idx="28">
                  <c:v>0.77418197674869893</c:v>
                </c:pt>
                <c:pt idx="29">
                  <c:v>0.77958140660182251</c:v>
                </c:pt>
                <c:pt idx="30">
                  <c:v>0.78484819761211411</c:v>
                </c:pt>
                <c:pt idx="31">
                  <c:v>0.79006197699739666</c:v>
                </c:pt>
                <c:pt idx="32">
                  <c:v>0.79519091288317589</c:v>
                </c:pt>
                <c:pt idx="33">
                  <c:v>0.80021417527803473</c:v>
                </c:pt>
                <c:pt idx="34">
                  <c:v>0.80523033100791608</c:v>
                </c:pt>
                <c:pt idx="35">
                  <c:v>0.81023227668350739</c:v>
                </c:pt>
                <c:pt idx="36">
                  <c:v>0.81520999864246135</c:v>
                </c:pt>
                <c:pt idx="37">
                  <c:v>0.82018761282014863</c:v>
                </c:pt>
                <c:pt idx="38">
                  <c:v>0.82514711410582109</c:v>
                </c:pt>
                <c:pt idx="39">
                  <c:v>0.83007794256314738</c:v>
                </c:pt>
                <c:pt idx="40">
                  <c:v>0.83492791255372523</c:v>
                </c:pt>
                <c:pt idx="41">
                  <c:v>0.83969708246857022</c:v>
                </c:pt>
                <c:pt idx="42">
                  <c:v>0.84439994863347478</c:v>
                </c:pt>
                <c:pt idx="43">
                  <c:v>0.84894669707377324</c:v>
                </c:pt>
                <c:pt idx="44">
                  <c:v>0.85344025910530164</c:v>
                </c:pt>
                <c:pt idx="45">
                  <c:v>0.85788316166383638</c:v>
                </c:pt>
                <c:pt idx="46">
                  <c:v>0.86231748305189138</c:v>
                </c:pt>
                <c:pt idx="47">
                  <c:v>0.86668660797138808</c:v>
                </c:pt>
                <c:pt idx="48">
                  <c:v>0.8710540636626275</c:v>
                </c:pt>
                <c:pt idx="49">
                  <c:v>0.87533590221186308</c:v>
                </c:pt>
                <c:pt idx="50">
                  <c:v>0.87950092652146361</c:v>
                </c:pt>
                <c:pt idx="51">
                  <c:v>0.88342278155446818</c:v>
                </c:pt>
                <c:pt idx="52">
                  <c:v>0.88729853288064853</c:v>
                </c:pt>
                <c:pt idx="53">
                  <c:v>0.89100354428067763</c:v>
                </c:pt>
                <c:pt idx="54">
                  <c:v>0.89470065059104464</c:v>
                </c:pt>
                <c:pt idx="55">
                  <c:v>0.89836852370173714</c:v>
                </c:pt>
                <c:pt idx="56">
                  <c:v>0.90195496657275498</c:v>
                </c:pt>
                <c:pt idx="57">
                  <c:v>0.9054857926190385</c:v>
                </c:pt>
                <c:pt idx="58">
                  <c:v>0.90888234617922181</c:v>
                </c:pt>
                <c:pt idx="59">
                  <c:v>0.91219782925050275</c:v>
                </c:pt>
                <c:pt idx="60">
                  <c:v>0.91540516384896342</c:v>
                </c:pt>
                <c:pt idx="61">
                  <c:v>0.91856929152357625</c:v>
                </c:pt>
                <c:pt idx="62">
                  <c:v>0.92169266201163247</c:v>
                </c:pt>
                <c:pt idx="63">
                  <c:v>0.92478943972328242</c:v>
                </c:pt>
                <c:pt idx="64">
                  <c:v>0.92783300916197209</c:v>
                </c:pt>
                <c:pt idx="65">
                  <c:v>0.93084564784072932</c:v>
                </c:pt>
                <c:pt idx="66">
                  <c:v>0.93383544676231056</c:v>
                </c:pt>
                <c:pt idx="67">
                  <c:v>0.93678146300271636</c:v>
                </c:pt>
                <c:pt idx="68">
                  <c:v>0.93971215374707129</c:v>
                </c:pt>
                <c:pt idx="69">
                  <c:v>0.94263679862047389</c:v>
                </c:pt>
                <c:pt idx="70">
                  <c:v>0.94551778090814598</c:v>
                </c:pt>
                <c:pt idx="71">
                  <c:v>0.94828768148539155</c:v>
                </c:pt>
                <c:pt idx="72">
                  <c:v>0.95028768148539156</c:v>
                </c:pt>
                <c:pt idx="73">
                  <c:v>0.95228768148539156</c:v>
                </c:pt>
                <c:pt idx="74">
                  <c:v>0.95438768148539155</c:v>
                </c:pt>
                <c:pt idx="75">
                  <c:v>0.95658768148539153</c:v>
                </c:pt>
                <c:pt idx="76">
                  <c:v>0.9588876814853915</c:v>
                </c:pt>
                <c:pt idx="77">
                  <c:v>0.96128768148539145</c:v>
                </c:pt>
                <c:pt idx="78">
                  <c:v>0.96384539721553919</c:v>
                </c:pt>
                <c:pt idx="79">
                  <c:v>0.96627487133429779</c:v>
                </c:pt>
                <c:pt idx="80">
                  <c:v>0.96869485071888373</c:v>
                </c:pt>
                <c:pt idx="81">
                  <c:v>0.97107563143222608</c:v>
                </c:pt>
                <c:pt idx="82">
                  <c:v>0.97327022139544517</c:v>
                </c:pt>
                <c:pt idx="83">
                  <c:v>0.97542662947655412</c:v>
                </c:pt>
                <c:pt idx="84">
                  <c:v>0.97758006411837084</c:v>
                </c:pt>
                <c:pt idx="85">
                  <c:v>0.979731957825975</c:v>
                </c:pt>
                <c:pt idx="86">
                  <c:v>0.98185033048994619</c:v>
                </c:pt>
                <c:pt idx="87">
                  <c:v>0.98390640779955529</c:v>
                </c:pt>
                <c:pt idx="88">
                  <c:v>0.98593377295773976</c:v>
                </c:pt>
                <c:pt idx="89">
                  <c:v>0.98793895455861092</c:v>
                </c:pt>
                <c:pt idx="90">
                  <c:v>0.98985799075729197</c:v>
                </c:pt>
                <c:pt idx="91">
                  <c:v>0.99174301528549502</c:v>
                </c:pt>
                <c:pt idx="92">
                  <c:v>0.9931052073494776</c:v>
                </c:pt>
                <c:pt idx="93">
                  <c:v>0.9943817748943683</c:v>
                </c:pt>
                <c:pt idx="94">
                  <c:v>0.99563681243277591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8-4751-8339-B2D59C8A5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776863"/>
        <c:axId val="1053775903"/>
      </c:scatterChart>
      <c:valAx>
        <c:axId val="1053776863"/>
        <c:scaling>
          <c:orientation val="minMax"/>
          <c:max val="10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Cummulative % Items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75903"/>
        <c:crosses val="autoZero"/>
        <c:crossBetween val="midCat"/>
        <c:majorUnit val="10"/>
      </c:valAx>
      <c:valAx>
        <c:axId val="1053775903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Cummulative %</a:t>
                </a:r>
                <a:r>
                  <a:rPr lang="en-IN" baseline="0"/>
                  <a:t> of Annual Usage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7686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5</xdr:row>
      <xdr:rowOff>41910</xdr:rowOff>
    </xdr:from>
    <xdr:to>
      <xdr:col>16</xdr:col>
      <xdr:colOff>419100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5C194-8A0F-E6CE-CF6B-B57B262F7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10</xdr:row>
      <xdr:rowOff>95250</xdr:rowOff>
    </xdr:from>
    <xdr:to>
      <xdr:col>13</xdr:col>
      <xdr:colOff>57150</xdr:colOff>
      <xdr:row>10</xdr:row>
      <xdr:rowOff>110490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8D8A649-D62E-1DFD-D37C-942A96E853C2}"/>
            </a:ext>
          </a:extLst>
        </xdr:cNvPr>
        <xdr:cNvCxnSpPr/>
      </xdr:nvCxnSpPr>
      <xdr:spPr>
        <a:xfrm flipV="1">
          <a:off x="3040380" y="2200275"/>
          <a:ext cx="4941570" cy="1524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10</xdr:row>
      <xdr:rowOff>85725</xdr:rowOff>
    </xdr:from>
    <xdr:to>
      <xdr:col>13</xdr:col>
      <xdr:colOff>60960</xdr:colOff>
      <xdr:row>35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3C70EA2-6889-7DE3-65AA-5B16F6440012}"/>
            </a:ext>
          </a:extLst>
        </xdr:cNvPr>
        <xdr:cNvCxnSpPr/>
      </xdr:nvCxnSpPr>
      <xdr:spPr>
        <a:xfrm>
          <a:off x="7981950" y="2190750"/>
          <a:ext cx="3810" cy="45434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70485</xdr:colOff>
      <xdr:row>11</xdr:row>
      <xdr:rowOff>49530</xdr:rowOff>
    </xdr:from>
    <xdr:to>
      <xdr:col>7</xdr:col>
      <xdr:colOff>590550</xdr:colOff>
      <xdr:row>16</xdr:row>
      <xdr:rowOff>9525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9A540AF-DE1D-BAA3-F0ED-1F3CE0607B37}"/>
            </a:ext>
          </a:extLst>
        </xdr:cNvPr>
        <xdr:cNvSpPr/>
      </xdr:nvSpPr>
      <xdr:spPr>
        <a:xfrm>
          <a:off x="3118485" y="2335530"/>
          <a:ext cx="1739265" cy="864870"/>
        </a:xfrm>
        <a:prstGeom prst="ellipse">
          <a:avLst/>
        </a:prstGeom>
        <a:ln>
          <a:solidFill>
            <a:schemeClr val="bg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556260</xdr:colOff>
      <xdr:row>12</xdr:row>
      <xdr:rowOff>81915</xdr:rowOff>
    </xdr:from>
    <xdr:to>
      <xdr:col>7</xdr:col>
      <xdr:colOff>171450</xdr:colOff>
      <xdr:row>15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6D67D14-2B33-E699-9735-AE8DA1025A1C}"/>
            </a:ext>
          </a:extLst>
        </xdr:cNvPr>
        <xdr:cNvSpPr txBox="1"/>
      </xdr:nvSpPr>
      <xdr:spPr>
        <a:xfrm>
          <a:off x="3604260" y="2548890"/>
          <a:ext cx="834390" cy="49911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Class : A</a:t>
          </a:r>
          <a:endParaRPr lang="en-IN" sz="1100">
            <a:effectLst/>
          </a:endParaRPr>
        </a:p>
        <a:p>
          <a:r>
            <a:rPr lang="en-IN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Items : 8  </a:t>
          </a:r>
          <a:endParaRPr lang="en-IN" sz="1100">
            <a:effectLst/>
          </a:endParaRPr>
        </a:p>
        <a:p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0.07577</cdr:x>
      <cdr:y>0.45062</cdr:y>
    </cdr:from>
    <cdr:to>
      <cdr:x>0.14857</cdr:x>
      <cdr:y>0.45062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B88721C-8BC3-F900-D30C-9EB19B277929}"/>
            </a:ext>
          </a:extLst>
        </cdr:cNvPr>
        <cdr:cNvCxnSpPr/>
      </cdr:nvCxnSpPr>
      <cdr:spPr>
        <a:xfrm xmlns:a="http://schemas.openxmlformats.org/drawingml/2006/main">
          <a:off x="584835" y="2625090"/>
          <a:ext cx="56197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0.14487</cdr:x>
      <cdr:y>0.44984</cdr:y>
    </cdr:from>
    <cdr:to>
      <cdr:x>0.14606</cdr:x>
      <cdr:y>0.94441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5C45BCB4-329F-705E-A8E6-69E04EB26C5F}"/>
            </a:ext>
          </a:extLst>
        </cdr:cNvPr>
        <cdr:cNvCxnSpPr/>
      </cdr:nvCxnSpPr>
      <cdr:spPr>
        <a:xfrm xmlns:a="http://schemas.openxmlformats.org/drawingml/2006/main" flipH="1">
          <a:off x="1118235" y="2620563"/>
          <a:ext cx="9195" cy="288107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0.25831</cdr:x>
      <cdr:y>0.50831</cdr:y>
    </cdr:from>
    <cdr:to>
      <cdr:x>0.50806</cdr:x>
      <cdr:y>0.63517</cdr:y>
    </cdr:to>
    <cdr:sp macro="" textlink="">
      <cdr:nvSpPr>
        <cdr:cNvPr id="15" name="Oval 14">
          <a:extLst xmlns:a="http://schemas.openxmlformats.org/drawingml/2006/main">
            <a:ext uri="{FF2B5EF4-FFF2-40B4-BE49-F238E27FC236}">
              <a16:creationId xmlns:a16="http://schemas.microsoft.com/office/drawing/2014/main" id="{A9A540AF-DE1D-BAA3-F0ED-1F3CE0607B37}"/>
            </a:ext>
          </a:extLst>
        </cdr:cNvPr>
        <cdr:cNvSpPr/>
      </cdr:nvSpPr>
      <cdr:spPr>
        <a:xfrm xmlns:a="http://schemas.openxmlformats.org/drawingml/2006/main">
          <a:off x="1993900" y="2992120"/>
          <a:ext cx="1927860" cy="746760"/>
        </a:xfrm>
        <a:prstGeom xmlns:a="http://schemas.openxmlformats.org/drawingml/2006/main" prst="ellipse">
          <a:avLst/>
        </a:prstGeom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0.28233</cdr:x>
      <cdr:y>0.53269</cdr:y>
    </cdr:from>
    <cdr:to>
      <cdr:x>0.4926</cdr:x>
      <cdr:y>0.61683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DB82B499-568D-E135-AAFE-2CC38CC08AE3}"/>
            </a:ext>
          </a:extLst>
        </cdr:cNvPr>
        <cdr:cNvSpPr txBox="1"/>
      </cdr:nvSpPr>
      <cdr:spPr>
        <a:xfrm xmlns:a="http://schemas.openxmlformats.org/drawingml/2006/main">
          <a:off x="2179320" y="3135630"/>
          <a:ext cx="1623060" cy="4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0.28332</cdr:x>
      <cdr:y>0.53657</cdr:y>
    </cdr:from>
    <cdr:to>
      <cdr:x>0.49753</cdr:x>
      <cdr:y>0.61553</cdr:y>
    </cdr:to>
    <cdr:sp macro="" textlink="">
      <cdr:nvSpPr>
        <cdr:cNvPr id="18" name="TextBox 17">
          <a:extLst xmlns:a="http://schemas.openxmlformats.org/drawingml/2006/main">
            <a:ext uri="{FF2B5EF4-FFF2-40B4-BE49-F238E27FC236}">
              <a16:creationId xmlns:a16="http://schemas.microsoft.com/office/drawing/2014/main" id="{3D526CB5-B728-5911-F99F-161CD6C058D7}"/>
            </a:ext>
          </a:extLst>
        </cdr:cNvPr>
        <cdr:cNvSpPr txBox="1"/>
      </cdr:nvSpPr>
      <cdr:spPr>
        <a:xfrm xmlns:a="http://schemas.openxmlformats.org/drawingml/2006/main">
          <a:off x="2186940" y="3158490"/>
          <a:ext cx="165354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Class : B</a:t>
          </a:r>
        </a:p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Items : 63 </a:t>
          </a:r>
          <a:endParaRPr lang="en-IN">
            <a:effectLst/>
          </a:endParaRPr>
        </a:p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0.69957</cdr:x>
      <cdr:y>0.5109</cdr:y>
    </cdr:from>
    <cdr:to>
      <cdr:x>0.94933</cdr:x>
      <cdr:y>0.63776</cdr:y>
    </cdr:to>
    <cdr:sp macro="" textlink="">
      <cdr:nvSpPr>
        <cdr:cNvPr id="20" name="Oval 19">
          <a:extLst xmlns:a="http://schemas.openxmlformats.org/drawingml/2006/main">
            <a:ext uri="{FF2B5EF4-FFF2-40B4-BE49-F238E27FC236}">
              <a16:creationId xmlns:a16="http://schemas.microsoft.com/office/drawing/2014/main" id="{A9A540AF-DE1D-BAA3-F0ED-1F3CE0607B37}"/>
            </a:ext>
          </a:extLst>
        </cdr:cNvPr>
        <cdr:cNvSpPr/>
      </cdr:nvSpPr>
      <cdr:spPr>
        <a:xfrm xmlns:a="http://schemas.openxmlformats.org/drawingml/2006/main">
          <a:off x="5400040" y="3007360"/>
          <a:ext cx="1927860" cy="746760"/>
        </a:xfrm>
        <a:prstGeom xmlns:a="http://schemas.openxmlformats.org/drawingml/2006/main" prst="ellipse">
          <a:avLst/>
        </a:prstGeom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0.73346</cdr:x>
      <cdr:y>0.54693</cdr:y>
    </cdr:from>
    <cdr:to>
      <cdr:x>0.9388</cdr:x>
      <cdr:y>0.63883</cdr:y>
    </cdr:to>
    <cdr:sp macro="" textlink="">
      <cdr:nvSpPr>
        <cdr:cNvPr id="21" name="TextBox 20">
          <a:extLst xmlns:a="http://schemas.openxmlformats.org/drawingml/2006/main">
            <a:ext uri="{FF2B5EF4-FFF2-40B4-BE49-F238E27FC236}">
              <a16:creationId xmlns:a16="http://schemas.microsoft.com/office/drawing/2014/main" id="{F15C6687-285A-0E43-3254-B8609943780F}"/>
            </a:ext>
          </a:extLst>
        </cdr:cNvPr>
        <cdr:cNvSpPr txBox="1"/>
      </cdr:nvSpPr>
      <cdr:spPr>
        <a:xfrm xmlns:a="http://schemas.openxmlformats.org/drawingml/2006/main">
          <a:off x="5661660" y="3219450"/>
          <a:ext cx="1584960" cy="541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Class : C</a:t>
          </a:r>
          <a:endParaRPr lang="en-IN">
            <a:effectLst/>
          </a:endParaRPr>
        </a:p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Items : 24</a:t>
          </a:r>
          <a:endParaRPr lang="en-IN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579121</xdr:colOff>
      <xdr:row>1</xdr:row>
      <xdr:rowOff>114301</xdr:rowOff>
    </xdr:from>
    <xdr:to>
      <xdr:col>7</xdr:col>
      <xdr:colOff>396241</xdr:colOff>
      <xdr:row>3</xdr:row>
      <xdr:rowOff>134243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1723099-5C14-047E-9006-5E131B80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1" y="297181"/>
          <a:ext cx="2255520" cy="385702"/>
        </a:xfrm>
        <a:prstGeom prst="rect">
          <a:avLst/>
        </a:prstGeom>
      </xdr:spPr>
    </xdr:pic>
    <xdr:clientData/>
  </xdr:twoCellAnchor>
  <xdr:twoCellAnchor>
    <xdr:from>
      <xdr:col>0</xdr:col>
      <xdr:colOff>220980</xdr:colOff>
      <xdr:row>5</xdr:row>
      <xdr:rowOff>0</xdr:rowOff>
    </xdr:from>
    <xdr:to>
      <xdr:col>12</xdr:col>
      <xdr:colOff>91440</xdr:colOff>
      <xdr:row>35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1AE85F-3D80-48D5-8BE2-5361902D0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0.07577</cdr:x>
      <cdr:y>0.45062</cdr:y>
    </cdr:from>
    <cdr:to>
      <cdr:x>0.14857</cdr:x>
      <cdr:y>0.45062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B88721C-8BC3-F900-D30C-9EB19B277929}"/>
            </a:ext>
          </a:extLst>
        </cdr:cNvPr>
        <cdr:cNvCxnSpPr/>
      </cdr:nvCxnSpPr>
      <cdr:spPr>
        <a:xfrm xmlns:a="http://schemas.openxmlformats.org/drawingml/2006/main">
          <a:off x="584835" y="2625090"/>
          <a:ext cx="56197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0.14487</cdr:x>
      <cdr:y>0.44984</cdr:y>
    </cdr:from>
    <cdr:to>
      <cdr:x>0.14606</cdr:x>
      <cdr:y>0.94441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5C45BCB4-329F-705E-A8E6-69E04EB26C5F}"/>
            </a:ext>
          </a:extLst>
        </cdr:cNvPr>
        <cdr:cNvCxnSpPr/>
      </cdr:nvCxnSpPr>
      <cdr:spPr>
        <a:xfrm xmlns:a="http://schemas.openxmlformats.org/drawingml/2006/main" flipH="1">
          <a:off x="1118235" y="2620563"/>
          <a:ext cx="9195" cy="288107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0.25831</cdr:x>
      <cdr:y>0.50831</cdr:y>
    </cdr:from>
    <cdr:to>
      <cdr:x>0.50806</cdr:x>
      <cdr:y>0.63517</cdr:y>
    </cdr:to>
    <cdr:sp macro="" textlink="">
      <cdr:nvSpPr>
        <cdr:cNvPr id="15" name="Oval 14">
          <a:extLst xmlns:a="http://schemas.openxmlformats.org/drawingml/2006/main">
            <a:ext uri="{FF2B5EF4-FFF2-40B4-BE49-F238E27FC236}">
              <a16:creationId xmlns:a16="http://schemas.microsoft.com/office/drawing/2014/main" id="{A9A540AF-DE1D-BAA3-F0ED-1F3CE0607B37}"/>
            </a:ext>
          </a:extLst>
        </cdr:cNvPr>
        <cdr:cNvSpPr/>
      </cdr:nvSpPr>
      <cdr:spPr>
        <a:xfrm xmlns:a="http://schemas.openxmlformats.org/drawingml/2006/main">
          <a:off x="1993900" y="2992120"/>
          <a:ext cx="1927860" cy="746760"/>
        </a:xfrm>
        <a:prstGeom xmlns:a="http://schemas.openxmlformats.org/drawingml/2006/main" prst="ellipse">
          <a:avLst/>
        </a:prstGeom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0.28233</cdr:x>
      <cdr:y>0.53269</cdr:y>
    </cdr:from>
    <cdr:to>
      <cdr:x>0.4926</cdr:x>
      <cdr:y>0.61683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DB82B499-568D-E135-AAFE-2CC38CC08AE3}"/>
            </a:ext>
          </a:extLst>
        </cdr:cNvPr>
        <cdr:cNvSpPr txBox="1"/>
      </cdr:nvSpPr>
      <cdr:spPr>
        <a:xfrm xmlns:a="http://schemas.openxmlformats.org/drawingml/2006/main">
          <a:off x="2179320" y="3135630"/>
          <a:ext cx="1623060" cy="4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0.28332</cdr:x>
      <cdr:y>0.53657</cdr:y>
    </cdr:from>
    <cdr:to>
      <cdr:x>0.49753</cdr:x>
      <cdr:y>0.61553</cdr:y>
    </cdr:to>
    <cdr:sp macro="" textlink="">
      <cdr:nvSpPr>
        <cdr:cNvPr id="18" name="TextBox 17">
          <a:extLst xmlns:a="http://schemas.openxmlformats.org/drawingml/2006/main">
            <a:ext uri="{FF2B5EF4-FFF2-40B4-BE49-F238E27FC236}">
              <a16:creationId xmlns:a16="http://schemas.microsoft.com/office/drawing/2014/main" id="{3D526CB5-B728-5911-F99F-161CD6C058D7}"/>
            </a:ext>
          </a:extLst>
        </cdr:cNvPr>
        <cdr:cNvSpPr txBox="1"/>
      </cdr:nvSpPr>
      <cdr:spPr>
        <a:xfrm xmlns:a="http://schemas.openxmlformats.org/drawingml/2006/main">
          <a:off x="2186940" y="3158490"/>
          <a:ext cx="165354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Class : B</a:t>
          </a:r>
        </a:p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Items : 63 </a:t>
          </a:r>
          <a:endParaRPr lang="en-IN">
            <a:effectLst/>
          </a:endParaRPr>
        </a:p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0.69957</cdr:x>
      <cdr:y>0.5109</cdr:y>
    </cdr:from>
    <cdr:to>
      <cdr:x>0.94933</cdr:x>
      <cdr:y>0.63776</cdr:y>
    </cdr:to>
    <cdr:sp macro="" textlink="">
      <cdr:nvSpPr>
        <cdr:cNvPr id="20" name="Oval 19">
          <a:extLst xmlns:a="http://schemas.openxmlformats.org/drawingml/2006/main">
            <a:ext uri="{FF2B5EF4-FFF2-40B4-BE49-F238E27FC236}">
              <a16:creationId xmlns:a16="http://schemas.microsoft.com/office/drawing/2014/main" id="{A9A540AF-DE1D-BAA3-F0ED-1F3CE0607B37}"/>
            </a:ext>
          </a:extLst>
        </cdr:cNvPr>
        <cdr:cNvSpPr/>
      </cdr:nvSpPr>
      <cdr:spPr>
        <a:xfrm xmlns:a="http://schemas.openxmlformats.org/drawingml/2006/main">
          <a:off x="5400040" y="3007360"/>
          <a:ext cx="1927860" cy="746760"/>
        </a:xfrm>
        <a:prstGeom xmlns:a="http://schemas.openxmlformats.org/drawingml/2006/main" prst="ellipse">
          <a:avLst/>
        </a:prstGeom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0.73346</cdr:x>
      <cdr:y>0.54693</cdr:y>
    </cdr:from>
    <cdr:to>
      <cdr:x>0.9388</cdr:x>
      <cdr:y>0.63883</cdr:y>
    </cdr:to>
    <cdr:sp macro="" textlink="">
      <cdr:nvSpPr>
        <cdr:cNvPr id="21" name="TextBox 20">
          <a:extLst xmlns:a="http://schemas.openxmlformats.org/drawingml/2006/main">
            <a:ext uri="{FF2B5EF4-FFF2-40B4-BE49-F238E27FC236}">
              <a16:creationId xmlns:a16="http://schemas.microsoft.com/office/drawing/2014/main" id="{F15C6687-285A-0E43-3254-B8609943780F}"/>
            </a:ext>
          </a:extLst>
        </cdr:cNvPr>
        <cdr:cNvSpPr txBox="1"/>
      </cdr:nvSpPr>
      <cdr:spPr>
        <a:xfrm xmlns:a="http://schemas.openxmlformats.org/drawingml/2006/main">
          <a:off x="5661660" y="3219450"/>
          <a:ext cx="1584960" cy="541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Class : C</a:t>
          </a:r>
          <a:endParaRPr lang="en-IN">
            <a:effectLst/>
          </a:endParaRPr>
        </a:p>
        <a:p xmlns:a="http://schemas.openxmlformats.org/drawingml/2006/main">
          <a:r>
            <a:rPr lang="en-IN" sz="1100" b="0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Items : 24</a:t>
          </a:r>
          <a:endParaRPr lang="en-IN" sz="1100" kern="1200"/>
        </a:p>
      </cdr:txBody>
    </cdr:sp>
  </cdr:relSizeAnchor>
  <cdr:relSizeAnchor xmlns:cdr="http://schemas.openxmlformats.org/drawingml/2006/chartDrawing">
    <cdr:from>
      <cdr:x>0.07502</cdr:x>
      <cdr:y>0.16874</cdr:y>
    </cdr:from>
    <cdr:to>
      <cdr:x>0.71866</cdr:x>
      <cdr:y>0.17135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26D3203-E3FF-15EC-8B89-4A9AAD209FC7}"/>
            </a:ext>
          </a:extLst>
        </cdr:cNvPr>
        <cdr:cNvCxnSpPr/>
      </cdr:nvCxnSpPr>
      <cdr:spPr>
        <a:xfrm xmlns:a="http://schemas.openxmlformats.org/drawingml/2006/main" flipV="1">
          <a:off x="579120" y="982980"/>
          <a:ext cx="4968240" cy="1524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0.71668</cdr:x>
      <cdr:y>0.16743</cdr:y>
    </cdr:from>
    <cdr:to>
      <cdr:x>0.71767</cdr:x>
      <cdr:y>0.94441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C3C32CC3-0771-A94C-230F-643682C0F5F4}"/>
            </a:ext>
          </a:extLst>
        </cdr:cNvPr>
        <cdr:cNvCxnSpPr/>
      </cdr:nvCxnSpPr>
      <cdr:spPr>
        <a:xfrm xmlns:a="http://schemas.openxmlformats.org/drawingml/2006/main" flipH="1">
          <a:off x="5532120" y="975360"/>
          <a:ext cx="7620" cy="452628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0.08358</cdr:x>
      <cdr:y>0.18138</cdr:y>
    </cdr:from>
    <cdr:to>
      <cdr:x>0.3089</cdr:x>
      <cdr:y>0.32985</cdr:y>
    </cdr:to>
    <cdr:sp macro="" textlink="">
      <cdr:nvSpPr>
        <cdr:cNvPr id="14" name="Oval 13">
          <a:extLst xmlns:a="http://schemas.openxmlformats.org/drawingml/2006/main">
            <a:ext uri="{FF2B5EF4-FFF2-40B4-BE49-F238E27FC236}">
              <a16:creationId xmlns:a16="http://schemas.microsoft.com/office/drawing/2014/main" id="{A9A540AF-DE1D-BAA3-F0ED-1F3CE0607B37}"/>
            </a:ext>
          </a:extLst>
        </cdr:cNvPr>
        <cdr:cNvSpPr/>
      </cdr:nvSpPr>
      <cdr:spPr>
        <a:xfrm xmlns:a="http://schemas.openxmlformats.org/drawingml/2006/main">
          <a:off x="645160" y="1056640"/>
          <a:ext cx="1739265" cy="864870"/>
        </a:xfrm>
        <a:prstGeom xmlns:a="http://schemas.openxmlformats.org/drawingml/2006/main" prst="ellipse">
          <a:avLst/>
        </a:prstGeom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0.13294</cdr:x>
      <cdr:y>0.21801</cdr:y>
    </cdr:from>
    <cdr:to>
      <cdr:x>0.24103</cdr:x>
      <cdr:y>0.30368</cdr:y>
    </cdr:to>
    <cdr:sp macro="" textlink="">
      <cdr:nvSpPr>
        <cdr:cNvPr id="19" name="TextBox 14">
          <a:extLst xmlns:a="http://schemas.openxmlformats.org/drawingml/2006/main">
            <a:ext uri="{FF2B5EF4-FFF2-40B4-BE49-F238E27FC236}">
              <a16:creationId xmlns:a16="http://schemas.microsoft.com/office/drawing/2014/main" id="{46D67D14-2B33-E699-9735-AE8DA1025A1C}"/>
            </a:ext>
          </a:extLst>
        </cdr:cNvPr>
        <cdr:cNvSpPr txBox="1"/>
      </cdr:nvSpPr>
      <cdr:spPr>
        <a:xfrm xmlns:a="http://schemas.openxmlformats.org/drawingml/2006/main">
          <a:off x="1026160" y="1270000"/>
          <a:ext cx="834390" cy="49911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Class : A</a:t>
          </a:r>
          <a:endParaRPr lang="en-IN" sz="1100">
            <a:effectLst/>
          </a:endParaRPr>
        </a:p>
        <a:p xmlns:a="http://schemas.openxmlformats.org/drawingml/2006/main">
          <a:r>
            <a:rPr lang="en-IN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Items : 8  </a:t>
          </a:r>
          <a:endParaRPr lang="en-IN" sz="1100">
            <a:effectLst/>
          </a:endParaRPr>
        </a:p>
        <a:p xmlns:a="http://schemas.openxmlformats.org/drawingml/2006/main">
          <a:endParaRPr lang="en-IN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856C-EA33-4F30-B080-E20B6CDA339D}">
  <sheetPr>
    <pageSetUpPr fitToPage="1"/>
  </sheetPr>
  <dimension ref="A1:K177"/>
  <sheetViews>
    <sheetView zoomScaleNormal="100" workbookViewId="0">
      <selection activeCell="K96" sqref="K96"/>
    </sheetView>
  </sheetViews>
  <sheetFormatPr defaultRowHeight="14.4" x14ac:dyDescent="0.3"/>
  <cols>
    <col min="1" max="1" width="5.44140625" bestFit="1" customWidth="1"/>
    <col min="2" max="2" width="14.44140625" bestFit="1" customWidth="1"/>
    <col min="3" max="3" width="21.6640625" bestFit="1" customWidth="1"/>
    <col min="4" max="4" width="13.109375" bestFit="1" customWidth="1"/>
    <col min="5" max="5" width="17" bestFit="1" customWidth="1"/>
    <col min="6" max="6" width="16.21875" style="8" bestFit="1" customWidth="1"/>
    <col min="7" max="7" width="12.21875" bestFit="1" customWidth="1"/>
    <col min="8" max="9" width="22.109375" bestFit="1" customWidth="1"/>
    <col min="10" max="10" width="21.109375" style="5" bestFit="1" customWidth="1"/>
    <col min="11" max="12" width="10.77734375" bestFit="1" customWidth="1"/>
    <col min="13" max="13" width="10.44140625" customWidth="1"/>
  </cols>
  <sheetData>
    <row r="1" spans="1:11" ht="16.8" customHeight="1" x14ac:dyDescent="0.3">
      <c r="A1" s="1" t="s">
        <v>0</v>
      </c>
      <c r="B1" s="1" t="s">
        <v>103</v>
      </c>
      <c r="C1" s="1" t="s">
        <v>104</v>
      </c>
      <c r="D1" s="1" t="s">
        <v>1</v>
      </c>
      <c r="E1" s="2" t="s">
        <v>2</v>
      </c>
      <c r="F1" s="7" t="s">
        <v>4</v>
      </c>
      <c r="G1" s="6" t="s">
        <v>5</v>
      </c>
      <c r="H1" s="10" t="s">
        <v>101</v>
      </c>
      <c r="I1" s="2" t="s">
        <v>102</v>
      </c>
      <c r="J1" s="2" t="s">
        <v>3</v>
      </c>
    </row>
    <row r="2" spans="1:11" x14ac:dyDescent="0.3">
      <c r="A2">
        <v>1</v>
      </c>
      <c r="B2" t="s">
        <v>70</v>
      </c>
      <c r="C2" s="9">
        <v>15624</v>
      </c>
      <c r="D2">
        <v>1025.32</v>
      </c>
      <c r="E2">
        <f t="shared" ref="E2:E33" si="0">C2*D2</f>
        <v>16019599.68</v>
      </c>
      <c r="F2" s="3">
        <f>I2</f>
        <v>7.6180167873210053E-2</v>
      </c>
      <c r="G2">
        <f t="shared" ref="G2:G27" si="1">1/95 *100</f>
        <v>1.0526315789473684</v>
      </c>
      <c r="H2" s="12">
        <f>G2</f>
        <v>1.0526315789473684</v>
      </c>
      <c r="I2" s="3">
        <v>7.6180167873210053E-2</v>
      </c>
      <c r="J2" s="4" t="str">
        <f>IF(I2&lt;61%,"A", IF(I2&lt;95%, "B", "C"))</f>
        <v>A</v>
      </c>
      <c r="K2" s="3">
        <f>F2</f>
        <v>7.6180167873210053E-2</v>
      </c>
    </row>
    <row r="3" spans="1:11" x14ac:dyDescent="0.3">
      <c r="A3">
        <v>2</v>
      </c>
      <c r="B3" t="s">
        <v>33</v>
      </c>
      <c r="C3" s="9">
        <v>13652</v>
      </c>
      <c r="D3">
        <v>1437.25</v>
      </c>
      <c r="E3">
        <f t="shared" si="0"/>
        <v>19621337</v>
      </c>
      <c r="F3" s="3">
        <f>I3-I2</f>
        <v>9.9697413525177914E-2</v>
      </c>
      <c r="G3">
        <f t="shared" si="1"/>
        <v>1.0526315789473684</v>
      </c>
      <c r="H3" s="12">
        <f t="shared" ref="H3:H34" si="2">H2+G3</f>
        <v>2.1052631578947367</v>
      </c>
      <c r="I3" s="3">
        <v>0.17587758139838797</v>
      </c>
      <c r="J3" s="4" t="str">
        <f t="shared" ref="J3:J66" si="3">IF(I3&lt;61%,"A", IF(I3&lt;95%, "B", "C"))</f>
        <v>A</v>
      </c>
      <c r="K3" s="3">
        <f>K2+F3</f>
        <v>0.17587758139838797</v>
      </c>
    </row>
    <row r="4" spans="1:11" x14ac:dyDescent="0.3">
      <c r="A4">
        <v>3</v>
      </c>
      <c r="B4" t="s">
        <v>73</v>
      </c>
      <c r="C4" s="9">
        <v>14658</v>
      </c>
      <c r="D4" s="9">
        <v>1154.326</v>
      </c>
      <c r="E4">
        <f t="shared" si="0"/>
        <v>16920110.508000001</v>
      </c>
      <c r="F4" s="3">
        <f t="shared" ref="F4:F67" si="4">I4-I3</f>
        <v>0.11441012666533676</v>
      </c>
      <c r="G4">
        <f t="shared" si="1"/>
        <v>1.0526315789473684</v>
      </c>
      <c r="H4" s="12">
        <f t="shared" si="2"/>
        <v>3.1578947368421053</v>
      </c>
      <c r="I4" s="3">
        <v>0.29028770806372473</v>
      </c>
      <c r="J4" s="4" t="str">
        <f t="shared" si="3"/>
        <v>A</v>
      </c>
      <c r="K4" s="3">
        <f t="shared" ref="K4:K67" si="5">K3+F4</f>
        <v>0.29028770806372473</v>
      </c>
    </row>
    <row r="5" spans="1:11" x14ac:dyDescent="0.3">
      <c r="A5">
        <v>4</v>
      </c>
      <c r="B5" t="s">
        <v>22</v>
      </c>
      <c r="C5" s="9">
        <v>12354</v>
      </c>
      <c r="D5">
        <v>989.56410000000005</v>
      </c>
      <c r="E5">
        <f t="shared" si="0"/>
        <v>12225074.8914</v>
      </c>
      <c r="F5" s="3">
        <f t="shared" si="4"/>
        <v>8.6820471996681636E-2</v>
      </c>
      <c r="G5">
        <f t="shared" si="1"/>
        <v>1.0526315789473684</v>
      </c>
      <c r="H5" s="12">
        <f t="shared" si="2"/>
        <v>4.2105263157894735</v>
      </c>
      <c r="I5" s="3">
        <v>0.37710818006040636</v>
      </c>
      <c r="J5" s="4" t="str">
        <f t="shared" si="3"/>
        <v>A</v>
      </c>
      <c r="K5" s="3">
        <f t="shared" si="5"/>
        <v>0.37710818006040636</v>
      </c>
    </row>
    <row r="6" spans="1:11" x14ac:dyDescent="0.3">
      <c r="A6">
        <v>5</v>
      </c>
      <c r="B6" t="s">
        <v>44</v>
      </c>
      <c r="C6" s="9">
        <v>10856</v>
      </c>
      <c r="D6" s="9">
        <v>965.32539999999995</v>
      </c>
      <c r="E6">
        <f t="shared" si="0"/>
        <v>10479572.542399999</v>
      </c>
      <c r="F6" s="3">
        <f t="shared" si="4"/>
        <v>6.3978377783347695E-2</v>
      </c>
      <c r="G6">
        <f t="shared" si="1"/>
        <v>1.0526315789473684</v>
      </c>
      <c r="H6" s="12">
        <f t="shared" si="2"/>
        <v>5.2631578947368416</v>
      </c>
      <c r="I6" s="3">
        <v>0.44108655784375406</v>
      </c>
      <c r="J6" s="4" t="str">
        <f t="shared" si="3"/>
        <v>A</v>
      </c>
      <c r="K6" s="3">
        <f t="shared" si="5"/>
        <v>0.44108655784375406</v>
      </c>
    </row>
    <row r="7" spans="1:11" x14ac:dyDescent="0.3">
      <c r="A7">
        <v>6</v>
      </c>
      <c r="B7" t="s">
        <v>96</v>
      </c>
      <c r="C7" s="9">
        <v>9958</v>
      </c>
      <c r="D7" s="9">
        <v>875.65210000000002</v>
      </c>
      <c r="E7">
        <f t="shared" si="0"/>
        <v>8719743.6118000001</v>
      </c>
      <c r="F7" s="3">
        <f t="shared" si="4"/>
        <v>5.9038075543458191E-2</v>
      </c>
      <c r="G7">
        <f t="shared" si="1"/>
        <v>1.0526315789473684</v>
      </c>
      <c r="H7" s="12">
        <f t="shared" si="2"/>
        <v>6.3157894736842097</v>
      </c>
      <c r="I7" s="3">
        <v>0.50012463338721225</v>
      </c>
      <c r="J7" s="4" t="str">
        <f t="shared" si="3"/>
        <v>A</v>
      </c>
      <c r="K7" s="3">
        <f t="shared" si="5"/>
        <v>0.50012463338721225</v>
      </c>
    </row>
    <row r="8" spans="1:11" x14ac:dyDescent="0.3">
      <c r="A8">
        <v>7</v>
      </c>
      <c r="B8" t="s">
        <v>40</v>
      </c>
      <c r="C8" s="9">
        <v>9875</v>
      </c>
      <c r="D8">
        <v>964.32</v>
      </c>
      <c r="E8">
        <f t="shared" si="0"/>
        <v>9522660</v>
      </c>
      <c r="F8" s="3">
        <f t="shared" si="4"/>
        <v>6.1537012925448775E-2</v>
      </c>
      <c r="G8">
        <f t="shared" si="1"/>
        <v>1.0526315789473684</v>
      </c>
      <c r="H8" s="12">
        <f t="shared" si="2"/>
        <v>7.3684210526315779</v>
      </c>
      <c r="I8" s="3">
        <v>0.56166164631266102</v>
      </c>
      <c r="J8" s="4" t="str">
        <f t="shared" si="3"/>
        <v>A</v>
      </c>
      <c r="K8" s="3">
        <f t="shared" si="5"/>
        <v>0.56166164631266102</v>
      </c>
    </row>
    <row r="9" spans="1:11" x14ac:dyDescent="0.3">
      <c r="A9">
        <v>8</v>
      </c>
      <c r="B9" t="s">
        <v>59</v>
      </c>
      <c r="C9" s="9">
        <v>9954</v>
      </c>
      <c r="D9" s="9">
        <v>962.32579999999996</v>
      </c>
      <c r="E9">
        <f t="shared" si="0"/>
        <v>9578991.0131999999</v>
      </c>
      <c r="F9" s="3">
        <f t="shared" si="4"/>
        <v>3.9750585643196668E-2</v>
      </c>
      <c r="G9">
        <f t="shared" si="1"/>
        <v>1.0526315789473684</v>
      </c>
      <c r="H9" s="12">
        <f t="shared" si="2"/>
        <v>8.4210526315789469</v>
      </c>
      <c r="I9" s="3">
        <v>0.60141223195585769</v>
      </c>
      <c r="J9" s="4" t="str">
        <f t="shared" si="3"/>
        <v>A</v>
      </c>
      <c r="K9" s="3">
        <f t="shared" si="5"/>
        <v>0.60141223195585769</v>
      </c>
    </row>
    <row r="10" spans="1:11" x14ac:dyDescent="0.3">
      <c r="A10">
        <v>9</v>
      </c>
      <c r="B10" t="s">
        <v>8</v>
      </c>
      <c r="C10" s="9">
        <v>8625</v>
      </c>
      <c r="D10" s="9">
        <v>1325.1274000000001</v>
      </c>
      <c r="E10">
        <f t="shared" si="0"/>
        <v>11429223.825000001</v>
      </c>
      <c r="F10" s="3">
        <f t="shared" si="4"/>
        <v>1.8008568197942609E-2</v>
      </c>
      <c r="G10">
        <f t="shared" si="1"/>
        <v>1.0526315789473684</v>
      </c>
      <c r="H10" s="12">
        <f t="shared" si="2"/>
        <v>9.473684210526315</v>
      </c>
      <c r="I10" s="3">
        <v>0.6194208001538003</v>
      </c>
      <c r="J10" s="4" t="str">
        <f t="shared" si="3"/>
        <v>B</v>
      </c>
      <c r="K10" s="3">
        <f t="shared" si="5"/>
        <v>0.6194208001538003</v>
      </c>
    </row>
    <row r="11" spans="1:11" x14ac:dyDescent="0.3">
      <c r="A11">
        <v>10</v>
      </c>
      <c r="B11" t="s">
        <v>64</v>
      </c>
      <c r="C11" s="9">
        <v>9562</v>
      </c>
      <c r="D11" s="9">
        <v>1425.3653999999999</v>
      </c>
      <c r="E11">
        <f t="shared" si="0"/>
        <v>13629343.954799999</v>
      </c>
      <c r="F11" s="3">
        <f t="shared" si="4"/>
        <v>1.3880553768971571E-2</v>
      </c>
      <c r="G11">
        <f t="shared" si="1"/>
        <v>1.0526315789473684</v>
      </c>
      <c r="H11" s="12">
        <f t="shared" si="2"/>
        <v>10.526315789473683</v>
      </c>
      <c r="I11" s="3">
        <v>0.63330135392277187</v>
      </c>
      <c r="J11" s="4" t="str">
        <f t="shared" si="3"/>
        <v>B</v>
      </c>
      <c r="K11" s="3">
        <f t="shared" si="5"/>
        <v>0.63330135392277187</v>
      </c>
    </row>
    <row r="12" spans="1:11" x14ac:dyDescent="0.3">
      <c r="A12">
        <v>11</v>
      </c>
      <c r="B12" t="s">
        <v>24</v>
      </c>
      <c r="C12" s="9">
        <v>8698</v>
      </c>
      <c r="D12" s="9">
        <v>785.26990000000001</v>
      </c>
      <c r="E12">
        <f t="shared" si="0"/>
        <v>6830277.5902000004</v>
      </c>
      <c r="F12" s="3">
        <f t="shared" si="4"/>
        <v>1.3702528610693654E-2</v>
      </c>
      <c r="G12">
        <f t="shared" si="1"/>
        <v>1.0526315789473684</v>
      </c>
      <c r="H12" s="12">
        <f t="shared" si="2"/>
        <v>11.578947368421051</v>
      </c>
      <c r="I12" s="3">
        <v>0.64700388253346552</v>
      </c>
      <c r="J12" s="4" t="str">
        <f t="shared" si="3"/>
        <v>B</v>
      </c>
      <c r="K12" s="3">
        <f t="shared" si="5"/>
        <v>0.64700388253346552</v>
      </c>
    </row>
    <row r="13" spans="1:11" x14ac:dyDescent="0.3">
      <c r="A13">
        <v>12</v>
      </c>
      <c r="B13" t="s">
        <v>89</v>
      </c>
      <c r="C13" s="9">
        <v>5545</v>
      </c>
      <c r="D13" s="9">
        <v>782.62540000000001</v>
      </c>
      <c r="E13">
        <f t="shared" si="0"/>
        <v>4339657.8430000003</v>
      </c>
      <c r="F13" s="3">
        <f t="shared" si="4"/>
        <v>1.3091368210085053E-2</v>
      </c>
      <c r="G13">
        <f t="shared" si="1"/>
        <v>1.0526315789473684</v>
      </c>
      <c r="H13" s="12">
        <f t="shared" si="2"/>
        <v>12.631578947368419</v>
      </c>
      <c r="I13" s="3">
        <v>0.66009525074355058</v>
      </c>
      <c r="J13" s="4" t="str">
        <f t="shared" si="3"/>
        <v>B</v>
      </c>
      <c r="K13" s="3">
        <f t="shared" si="5"/>
        <v>0.66009525074355058</v>
      </c>
    </row>
    <row r="14" spans="1:11" x14ac:dyDescent="0.3">
      <c r="A14">
        <v>13</v>
      </c>
      <c r="B14" t="s">
        <v>47</v>
      </c>
      <c r="C14" s="9">
        <v>5126</v>
      </c>
      <c r="D14" s="9">
        <v>695.46</v>
      </c>
      <c r="E14">
        <f t="shared" si="0"/>
        <v>3564927.96</v>
      </c>
      <c r="F14" s="3">
        <f t="shared" si="4"/>
        <v>1.1987913467061406E-2</v>
      </c>
      <c r="G14">
        <f t="shared" si="1"/>
        <v>1.0526315789473684</v>
      </c>
      <c r="H14" s="12">
        <f t="shared" si="2"/>
        <v>13.684210526315788</v>
      </c>
      <c r="I14" s="3">
        <v>0.67208316421061198</v>
      </c>
      <c r="J14" s="4" t="str">
        <f t="shared" si="3"/>
        <v>B</v>
      </c>
      <c r="K14" s="3">
        <f t="shared" si="5"/>
        <v>0.67208316421061198</v>
      </c>
    </row>
    <row r="15" spans="1:11" x14ac:dyDescent="0.3">
      <c r="A15">
        <v>14</v>
      </c>
      <c r="B15" t="s">
        <v>66</v>
      </c>
      <c r="C15" s="9">
        <v>4521</v>
      </c>
      <c r="D15" s="9">
        <v>545.84479999999996</v>
      </c>
      <c r="E15">
        <f t="shared" si="0"/>
        <v>2467764.3407999999</v>
      </c>
      <c r="F15" s="3">
        <f t="shared" si="4"/>
        <v>1.164443830354378E-2</v>
      </c>
      <c r="G15">
        <f t="shared" si="1"/>
        <v>1.0526315789473684</v>
      </c>
      <c r="H15" s="12">
        <f t="shared" si="2"/>
        <v>14.736842105263156</v>
      </c>
      <c r="I15" s="3">
        <v>0.68372760251415576</v>
      </c>
      <c r="J15" s="4" t="str">
        <f t="shared" si="3"/>
        <v>B</v>
      </c>
      <c r="K15" s="3">
        <f t="shared" si="5"/>
        <v>0.68372760251415576</v>
      </c>
    </row>
    <row r="16" spans="1:11" x14ac:dyDescent="0.3">
      <c r="A16">
        <v>15</v>
      </c>
      <c r="B16" t="s">
        <v>38</v>
      </c>
      <c r="C16" s="9">
        <v>2895</v>
      </c>
      <c r="D16" s="9">
        <v>805.66989999999998</v>
      </c>
      <c r="E16">
        <f t="shared" si="0"/>
        <v>2332414.3605</v>
      </c>
      <c r="F16" s="3">
        <f t="shared" si="4"/>
        <v>1.1005773391772555E-2</v>
      </c>
      <c r="G16">
        <f t="shared" si="1"/>
        <v>1.0526315789473684</v>
      </c>
      <c r="H16" s="12">
        <f t="shared" si="2"/>
        <v>15.789473684210524</v>
      </c>
      <c r="I16" s="3">
        <v>0.69473337590592832</v>
      </c>
      <c r="J16" s="4" t="str">
        <f t="shared" si="3"/>
        <v>B</v>
      </c>
      <c r="K16" s="3">
        <f t="shared" si="5"/>
        <v>0.69473337590592832</v>
      </c>
    </row>
    <row r="17" spans="1:11" x14ac:dyDescent="0.3">
      <c r="A17">
        <v>16</v>
      </c>
      <c r="B17" t="s">
        <v>11</v>
      </c>
      <c r="C17" s="9">
        <v>2954</v>
      </c>
      <c r="D17" s="9">
        <v>575.29489999999998</v>
      </c>
      <c r="E17">
        <f t="shared" si="0"/>
        <v>1699421.1346</v>
      </c>
      <c r="F17" s="3">
        <f t="shared" si="4"/>
        <v>8.0189198889115687E-3</v>
      </c>
      <c r="G17">
        <f t="shared" si="1"/>
        <v>1.0526315789473684</v>
      </c>
      <c r="H17" s="12">
        <f t="shared" si="2"/>
        <v>16.842105263157894</v>
      </c>
      <c r="I17" s="3">
        <v>0.70275229579483989</v>
      </c>
      <c r="J17" s="4" t="str">
        <f t="shared" si="3"/>
        <v>B</v>
      </c>
      <c r="K17" s="3">
        <f t="shared" si="5"/>
        <v>0.70275229579483989</v>
      </c>
    </row>
    <row r="18" spans="1:11" x14ac:dyDescent="0.3">
      <c r="A18">
        <v>17</v>
      </c>
      <c r="B18" t="s">
        <v>31</v>
      </c>
      <c r="C18" s="9">
        <v>1874</v>
      </c>
      <c r="D18" s="9">
        <v>745.52700000000004</v>
      </c>
      <c r="E18">
        <f t="shared" si="0"/>
        <v>1397117.598</v>
      </c>
      <c r="F18" s="3">
        <f t="shared" si="4"/>
        <v>6.5924648491485494E-3</v>
      </c>
      <c r="G18">
        <f t="shared" si="1"/>
        <v>1.0526315789473684</v>
      </c>
      <c r="H18" s="12">
        <f t="shared" si="2"/>
        <v>17.894736842105264</v>
      </c>
      <c r="I18" s="3">
        <v>0.70934476064398844</v>
      </c>
      <c r="J18" s="4" t="str">
        <f t="shared" si="3"/>
        <v>B</v>
      </c>
      <c r="K18" s="3">
        <f t="shared" si="5"/>
        <v>0.70934476064398844</v>
      </c>
    </row>
    <row r="19" spans="1:11" x14ac:dyDescent="0.3">
      <c r="A19">
        <v>18</v>
      </c>
      <c r="B19" t="s">
        <v>32</v>
      </c>
      <c r="C19" s="9">
        <v>1574</v>
      </c>
      <c r="D19" s="9">
        <v>875.68119999999999</v>
      </c>
      <c r="E19">
        <f t="shared" si="0"/>
        <v>1378322.2087999999</v>
      </c>
      <c r="F19" s="3">
        <f t="shared" si="4"/>
        <v>6.5037765792388402E-3</v>
      </c>
      <c r="G19">
        <f t="shared" si="1"/>
        <v>1.0526315789473684</v>
      </c>
      <c r="H19" s="12">
        <f t="shared" si="2"/>
        <v>18.947368421052634</v>
      </c>
      <c r="I19" s="3">
        <v>0.71584853722322728</v>
      </c>
      <c r="J19" s="4" t="str">
        <f t="shared" si="3"/>
        <v>B</v>
      </c>
      <c r="K19" s="3">
        <f t="shared" si="5"/>
        <v>0.71584853722322728</v>
      </c>
    </row>
    <row r="20" spans="1:11" x14ac:dyDescent="0.3">
      <c r="A20">
        <v>19</v>
      </c>
      <c r="B20" t="s">
        <v>10</v>
      </c>
      <c r="C20" s="9">
        <v>1743</v>
      </c>
      <c r="D20" s="9">
        <v>785.21069999999997</v>
      </c>
      <c r="E20">
        <f t="shared" si="0"/>
        <v>1368622.2501000001</v>
      </c>
      <c r="F20" s="3">
        <f t="shared" si="4"/>
        <v>6.458006175330433E-3</v>
      </c>
      <c r="G20">
        <f t="shared" si="1"/>
        <v>1.0526315789473684</v>
      </c>
      <c r="H20" s="12">
        <f t="shared" si="2"/>
        <v>20.000000000000004</v>
      </c>
      <c r="I20" s="3">
        <v>0.72230654339855771</v>
      </c>
      <c r="J20" s="4" t="str">
        <f t="shared" si="3"/>
        <v>B</v>
      </c>
      <c r="K20" s="3">
        <f t="shared" si="5"/>
        <v>0.72230654339855771</v>
      </c>
    </row>
    <row r="21" spans="1:11" x14ac:dyDescent="0.3">
      <c r="A21">
        <v>20</v>
      </c>
      <c r="B21" t="s">
        <v>87</v>
      </c>
      <c r="C21" s="9">
        <v>2109</v>
      </c>
      <c r="D21" s="9">
        <v>635.38630000000001</v>
      </c>
      <c r="E21">
        <f t="shared" si="0"/>
        <v>1340029.7067</v>
      </c>
      <c r="F21" s="3">
        <f t="shared" si="4"/>
        <v>6.3230888730345658E-3</v>
      </c>
      <c r="G21">
        <f t="shared" si="1"/>
        <v>1.0526315789473684</v>
      </c>
      <c r="H21" s="12">
        <f t="shared" si="2"/>
        <v>21.052631578947373</v>
      </c>
      <c r="I21" s="3">
        <v>0.72862963227159228</v>
      </c>
      <c r="J21" s="4" t="str">
        <f t="shared" si="3"/>
        <v>B</v>
      </c>
      <c r="K21" s="3">
        <f t="shared" si="5"/>
        <v>0.72862963227159228</v>
      </c>
    </row>
    <row r="22" spans="1:11" x14ac:dyDescent="0.3">
      <c r="A22">
        <v>21</v>
      </c>
      <c r="B22" t="s">
        <v>91</v>
      </c>
      <c r="C22" s="9">
        <v>1276</v>
      </c>
      <c r="D22" s="9">
        <v>1005.5462</v>
      </c>
      <c r="E22">
        <f t="shared" si="0"/>
        <v>1283076.9512</v>
      </c>
      <c r="F22" s="3">
        <f t="shared" si="4"/>
        <v>6.0543505511972961E-3</v>
      </c>
      <c r="G22">
        <f t="shared" si="1"/>
        <v>1.0526315789473684</v>
      </c>
      <c r="H22" s="12">
        <f t="shared" si="2"/>
        <v>22.105263157894743</v>
      </c>
      <c r="I22" s="3">
        <v>0.73468398282278957</v>
      </c>
      <c r="J22" s="4" t="str">
        <f t="shared" si="3"/>
        <v>B</v>
      </c>
      <c r="K22" s="3">
        <f t="shared" si="5"/>
        <v>0.73468398282278957</v>
      </c>
    </row>
    <row r="23" spans="1:11" x14ac:dyDescent="0.3">
      <c r="A23">
        <v>22</v>
      </c>
      <c r="B23" t="s">
        <v>68</v>
      </c>
      <c r="C23" s="9">
        <v>1743</v>
      </c>
      <c r="D23" s="9">
        <v>705.11369999999999</v>
      </c>
      <c r="E23">
        <f t="shared" si="0"/>
        <v>1229013.1791000001</v>
      </c>
      <c r="F23" s="3">
        <f t="shared" si="4"/>
        <v>5.7992442396800348E-3</v>
      </c>
      <c r="G23">
        <f t="shared" si="1"/>
        <v>1.0526315789473684</v>
      </c>
      <c r="H23" s="12">
        <f t="shared" si="2"/>
        <v>23.157894736842113</v>
      </c>
      <c r="I23" s="3">
        <v>0.74048322706246961</v>
      </c>
      <c r="J23" s="4" t="str">
        <f t="shared" si="3"/>
        <v>B</v>
      </c>
      <c r="K23" s="3">
        <f t="shared" si="5"/>
        <v>0.74048322706246961</v>
      </c>
    </row>
    <row r="24" spans="1:11" x14ac:dyDescent="0.3">
      <c r="A24">
        <v>23</v>
      </c>
      <c r="B24" t="s">
        <v>81</v>
      </c>
      <c r="C24" s="9">
        <v>1426</v>
      </c>
      <c r="D24" s="9">
        <v>855.65920000000006</v>
      </c>
      <c r="E24">
        <f t="shared" si="0"/>
        <v>1220170.0192</v>
      </c>
      <c r="F24" s="3">
        <f t="shared" si="4"/>
        <v>5.7575167423815632E-3</v>
      </c>
      <c r="G24">
        <f t="shared" si="1"/>
        <v>1.0526315789473684</v>
      </c>
      <c r="H24" s="12">
        <f t="shared" si="2"/>
        <v>24.210526315789483</v>
      </c>
      <c r="I24" s="3">
        <v>0.74624074380485117</v>
      </c>
      <c r="J24" s="4" t="str">
        <f t="shared" si="3"/>
        <v>B</v>
      </c>
      <c r="K24" s="3">
        <f t="shared" si="5"/>
        <v>0.74624074380485117</v>
      </c>
    </row>
    <row r="25" spans="1:11" x14ac:dyDescent="0.3">
      <c r="A25">
        <v>24</v>
      </c>
      <c r="B25" t="s">
        <v>18</v>
      </c>
      <c r="C25" s="9">
        <v>1584</v>
      </c>
      <c r="D25" s="9">
        <v>765.46569999999997</v>
      </c>
      <c r="E25">
        <f t="shared" si="0"/>
        <v>1212497.6687999999</v>
      </c>
      <c r="F25" s="3">
        <f t="shared" si="4"/>
        <v>5.7213138483698245E-3</v>
      </c>
      <c r="G25">
        <f t="shared" si="1"/>
        <v>1.0526315789473684</v>
      </c>
      <c r="H25" s="12">
        <f t="shared" si="2"/>
        <v>25.263157894736853</v>
      </c>
      <c r="I25" s="3">
        <v>0.75196205765322099</v>
      </c>
      <c r="J25" s="4" t="str">
        <f t="shared" si="3"/>
        <v>B</v>
      </c>
      <c r="K25" s="3">
        <f t="shared" si="5"/>
        <v>0.75196205765322099</v>
      </c>
    </row>
    <row r="26" spans="1:11" x14ac:dyDescent="0.3">
      <c r="A26">
        <v>25</v>
      </c>
      <c r="B26" t="s">
        <v>76</v>
      </c>
      <c r="C26" s="9">
        <v>1289</v>
      </c>
      <c r="D26" s="9">
        <v>925.48059999999998</v>
      </c>
      <c r="E26">
        <f t="shared" si="0"/>
        <v>1192944.4934</v>
      </c>
      <c r="F26" s="3">
        <f t="shared" si="4"/>
        <v>5.6290498745295015E-3</v>
      </c>
      <c r="G26">
        <f t="shared" si="1"/>
        <v>1.0526315789473684</v>
      </c>
      <c r="H26" s="12">
        <f t="shared" si="2"/>
        <v>26.315789473684223</v>
      </c>
      <c r="I26" s="3">
        <v>0.7575911075277505</v>
      </c>
      <c r="J26" s="4" t="str">
        <f t="shared" si="3"/>
        <v>B</v>
      </c>
      <c r="K26" s="3">
        <f t="shared" si="5"/>
        <v>0.7575911075277505</v>
      </c>
    </row>
    <row r="27" spans="1:11" x14ac:dyDescent="0.3">
      <c r="A27">
        <v>26</v>
      </c>
      <c r="B27" t="s">
        <v>6</v>
      </c>
      <c r="C27" s="9">
        <v>2071</v>
      </c>
      <c r="D27" s="9">
        <v>575.66650000000004</v>
      </c>
      <c r="E27">
        <f t="shared" si="0"/>
        <v>1192205.3215000001</v>
      </c>
      <c r="F27" s="3">
        <f t="shared" si="4"/>
        <v>5.6255620043779153E-3</v>
      </c>
      <c r="G27">
        <f t="shared" si="1"/>
        <v>1.0526315789473684</v>
      </c>
      <c r="H27" s="12">
        <f t="shared" si="2"/>
        <v>27.368421052631593</v>
      </c>
      <c r="I27" s="3">
        <v>0.76321666953212841</v>
      </c>
      <c r="J27" s="4" t="str">
        <f t="shared" si="3"/>
        <v>B</v>
      </c>
      <c r="K27" s="3">
        <f t="shared" si="5"/>
        <v>0.76321666953212841</v>
      </c>
    </row>
    <row r="28" spans="1:11" x14ac:dyDescent="0.3">
      <c r="A28">
        <v>27</v>
      </c>
      <c r="B28" t="s">
        <v>69</v>
      </c>
      <c r="C28" s="9">
        <v>1989</v>
      </c>
      <c r="D28" s="9">
        <v>585.92290000000003</v>
      </c>
      <c r="E28">
        <f t="shared" si="0"/>
        <v>1165400.6481000001</v>
      </c>
      <c r="F28" s="3">
        <f t="shared" si="4"/>
        <v>5.4990809784175587E-3</v>
      </c>
      <c r="G28">
        <f t="shared" ref="G28:G59" si="6">1/95 *100</f>
        <v>1.0526315789473684</v>
      </c>
      <c r="H28" s="12">
        <f t="shared" si="2"/>
        <v>28.421052631578963</v>
      </c>
      <c r="I28" s="3">
        <v>0.76871575051054597</v>
      </c>
      <c r="J28" s="4" t="str">
        <f t="shared" si="3"/>
        <v>B</v>
      </c>
      <c r="K28" s="3">
        <f t="shared" si="5"/>
        <v>0.76871575051054597</v>
      </c>
    </row>
    <row r="29" spans="1:11" x14ac:dyDescent="0.3">
      <c r="A29">
        <v>28</v>
      </c>
      <c r="B29" t="s">
        <v>83</v>
      </c>
      <c r="C29" s="9">
        <v>1475</v>
      </c>
      <c r="D29" s="9">
        <v>785.38160000000005</v>
      </c>
      <c r="E29">
        <f t="shared" si="0"/>
        <v>1158437.8600000001</v>
      </c>
      <c r="F29" s="3">
        <f t="shared" si="4"/>
        <v>5.4662262381529603E-3</v>
      </c>
      <c r="G29">
        <f t="shared" si="6"/>
        <v>1.0526315789473684</v>
      </c>
      <c r="H29" s="12">
        <f t="shared" si="2"/>
        <v>29.473684210526333</v>
      </c>
      <c r="I29" s="3">
        <v>0.77418197674869893</v>
      </c>
      <c r="J29" s="4" t="str">
        <f t="shared" si="3"/>
        <v>B</v>
      </c>
      <c r="K29" s="3">
        <f t="shared" si="5"/>
        <v>0.77418197674869893</v>
      </c>
    </row>
    <row r="30" spans="1:11" x14ac:dyDescent="0.3">
      <c r="A30">
        <v>29</v>
      </c>
      <c r="B30" t="s">
        <v>50</v>
      </c>
      <c r="C30" s="9">
        <v>1954</v>
      </c>
      <c r="D30" s="9">
        <v>585.61</v>
      </c>
      <c r="E30">
        <f t="shared" si="0"/>
        <v>1144281.94</v>
      </c>
      <c r="F30" s="3">
        <f t="shared" si="4"/>
        <v>5.3994298531235829E-3</v>
      </c>
      <c r="G30">
        <f t="shared" si="6"/>
        <v>1.0526315789473684</v>
      </c>
      <c r="H30" s="12">
        <f t="shared" si="2"/>
        <v>30.526315789473703</v>
      </c>
      <c r="I30" s="3">
        <v>0.77958140660182251</v>
      </c>
      <c r="J30" s="4" t="str">
        <f t="shared" si="3"/>
        <v>B</v>
      </c>
      <c r="K30" s="3">
        <f t="shared" si="5"/>
        <v>0.77958140660182251</v>
      </c>
    </row>
    <row r="31" spans="1:11" x14ac:dyDescent="0.3">
      <c r="A31">
        <v>30</v>
      </c>
      <c r="B31" t="s">
        <v>48</v>
      </c>
      <c r="C31" s="9">
        <v>1352</v>
      </c>
      <c r="D31" s="9">
        <v>825.57119999999998</v>
      </c>
      <c r="E31">
        <f t="shared" si="0"/>
        <v>1116172.2623999999</v>
      </c>
      <c r="F31" s="3">
        <f t="shared" si="4"/>
        <v>5.2667910102915938E-3</v>
      </c>
      <c r="G31">
        <f t="shared" si="6"/>
        <v>1.0526315789473684</v>
      </c>
      <c r="H31" s="12">
        <f t="shared" si="2"/>
        <v>31.578947368421073</v>
      </c>
      <c r="I31" s="3">
        <v>0.78484819761211411</v>
      </c>
      <c r="J31" s="4" t="str">
        <f t="shared" si="3"/>
        <v>B</v>
      </c>
      <c r="K31" s="3">
        <f t="shared" si="5"/>
        <v>0.78484819761211411</v>
      </c>
    </row>
    <row r="32" spans="1:11" x14ac:dyDescent="0.3">
      <c r="A32">
        <v>31</v>
      </c>
      <c r="B32" t="s">
        <v>35</v>
      </c>
      <c r="C32" s="9">
        <v>2275</v>
      </c>
      <c r="D32" s="9">
        <v>485.68689999999998</v>
      </c>
      <c r="E32">
        <f t="shared" si="0"/>
        <v>1104937.6975</v>
      </c>
      <c r="F32" s="3">
        <f t="shared" si="4"/>
        <v>5.2137793852825576E-3</v>
      </c>
      <c r="G32">
        <f t="shared" si="6"/>
        <v>1.0526315789473684</v>
      </c>
      <c r="H32" s="12">
        <f t="shared" si="2"/>
        <v>32.631578947368439</v>
      </c>
      <c r="I32" s="3">
        <v>0.79006197699739666</v>
      </c>
      <c r="J32" s="4" t="str">
        <f t="shared" si="3"/>
        <v>B</v>
      </c>
      <c r="K32" s="3">
        <f t="shared" si="5"/>
        <v>0.79006197699739666</v>
      </c>
    </row>
    <row r="33" spans="1:11" x14ac:dyDescent="0.3">
      <c r="A33">
        <v>32</v>
      </c>
      <c r="B33" t="s">
        <v>29</v>
      </c>
      <c r="C33" s="9">
        <v>1922</v>
      </c>
      <c r="D33" s="9">
        <v>565.53440000000001</v>
      </c>
      <c r="E33">
        <f t="shared" si="0"/>
        <v>1086957.1168</v>
      </c>
      <c r="F33" s="3">
        <f t="shared" si="4"/>
        <v>5.1289358857792289E-3</v>
      </c>
      <c r="G33">
        <f t="shared" si="6"/>
        <v>1.0526315789473684</v>
      </c>
      <c r="H33" s="12">
        <f t="shared" si="2"/>
        <v>33.684210526315809</v>
      </c>
      <c r="I33" s="3">
        <v>0.79519091288317589</v>
      </c>
      <c r="J33" s="4" t="str">
        <f t="shared" si="3"/>
        <v>B</v>
      </c>
      <c r="K33" s="3">
        <f t="shared" si="5"/>
        <v>0.79519091288317589</v>
      </c>
    </row>
    <row r="34" spans="1:11" x14ac:dyDescent="0.3">
      <c r="A34">
        <v>33</v>
      </c>
      <c r="B34" t="s">
        <v>39</v>
      </c>
      <c r="C34" s="9">
        <v>1819</v>
      </c>
      <c r="D34" s="9">
        <v>585.24580000000003</v>
      </c>
      <c r="E34">
        <f t="shared" ref="E34:E65" si="7">C34*D34</f>
        <v>1064562.1102</v>
      </c>
      <c r="F34" s="3">
        <f t="shared" si="4"/>
        <v>5.0232623948588406E-3</v>
      </c>
      <c r="G34">
        <f t="shared" si="6"/>
        <v>1.0526315789473684</v>
      </c>
      <c r="H34" s="12">
        <f t="shared" si="2"/>
        <v>34.736842105263179</v>
      </c>
      <c r="I34" s="3">
        <v>0.80021417527803473</v>
      </c>
      <c r="J34" s="4" t="str">
        <f t="shared" si="3"/>
        <v>B</v>
      </c>
      <c r="K34" s="3">
        <f t="shared" si="5"/>
        <v>0.80021417527803473</v>
      </c>
    </row>
    <row r="35" spans="1:11" x14ac:dyDescent="0.3">
      <c r="A35">
        <v>34</v>
      </c>
      <c r="B35" t="s">
        <v>98</v>
      </c>
      <c r="C35" s="9">
        <v>1846</v>
      </c>
      <c r="D35" s="9">
        <v>575.87</v>
      </c>
      <c r="E35">
        <f t="shared" si="7"/>
        <v>1063056.02</v>
      </c>
      <c r="F35" s="3">
        <f t="shared" si="4"/>
        <v>5.0161557298813442E-3</v>
      </c>
      <c r="G35">
        <f t="shared" si="6"/>
        <v>1.0526315789473684</v>
      </c>
      <c r="H35" s="12">
        <f t="shared" ref="H35:H66" si="8">H34+G35</f>
        <v>35.789473684210549</v>
      </c>
      <c r="I35" s="3">
        <v>0.80523033100791608</v>
      </c>
      <c r="J35" s="4" t="str">
        <f t="shared" si="3"/>
        <v>B</v>
      </c>
      <c r="K35" s="3">
        <f t="shared" si="5"/>
        <v>0.80523033100791608</v>
      </c>
    </row>
    <row r="36" spans="1:11" x14ac:dyDescent="0.3">
      <c r="A36">
        <v>35</v>
      </c>
      <c r="B36" t="s">
        <v>65</v>
      </c>
      <c r="C36" s="9">
        <v>2381</v>
      </c>
      <c r="D36" s="9">
        <v>445.20979999999997</v>
      </c>
      <c r="E36">
        <f t="shared" si="7"/>
        <v>1060044.5337999999</v>
      </c>
      <c r="F36" s="3">
        <f t="shared" si="4"/>
        <v>5.0019456755913128E-3</v>
      </c>
      <c r="G36">
        <f t="shared" si="6"/>
        <v>1.0526315789473684</v>
      </c>
      <c r="H36" s="12">
        <f t="shared" si="8"/>
        <v>36.842105263157919</v>
      </c>
      <c r="I36" s="3">
        <v>0.81023227668350739</v>
      </c>
      <c r="J36" s="4" t="str">
        <f t="shared" si="3"/>
        <v>B</v>
      </c>
      <c r="K36" s="3">
        <f t="shared" si="5"/>
        <v>0.81023227668350739</v>
      </c>
    </row>
    <row r="37" spans="1:11" x14ac:dyDescent="0.3">
      <c r="A37">
        <v>36</v>
      </c>
      <c r="B37" t="s">
        <v>57</v>
      </c>
      <c r="C37" s="9">
        <v>2541</v>
      </c>
      <c r="D37" s="9">
        <v>415.1558</v>
      </c>
      <c r="E37">
        <f t="shared" si="7"/>
        <v>1054910.8877999999</v>
      </c>
      <c r="F37" s="3">
        <f t="shared" si="4"/>
        <v>4.9777219589539623E-3</v>
      </c>
      <c r="G37">
        <f t="shared" si="6"/>
        <v>1.0526315789473684</v>
      </c>
      <c r="H37" s="12">
        <f t="shared" si="8"/>
        <v>37.894736842105289</v>
      </c>
      <c r="I37" s="3">
        <v>0.81520999864246135</v>
      </c>
      <c r="J37" s="4" t="str">
        <f t="shared" si="3"/>
        <v>B</v>
      </c>
      <c r="K37" s="3">
        <f t="shared" si="5"/>
        <v>0.81520999864246135</v>
      </c>
    </row>
    <row r="38" spans="1:11" x14ac:dyDescent="0.3">
      <c r="A38">
        <v>37</v>
      </c>
      <c r="B38" t="s">
        <v>7</v>
      </c>
      <c r="C38" s="9">
        <v>2421</v>
      </c>
      <c r="D38" s="9">
        <v>435.72410000000002</v>
      </c>
      <c r="E38">
        <f t="shared" si="7"/>
        <v>1054888.0461000002</v>
      </c>
      <c r="F38" s="3">
        <f t="shared" si="4"/>
        <v>4.9776141776872729E-3</v>
      </c>
      <c r="G38">
        <f t="shared" si="6"/>
        <v>1.0526315789473684</v>
      </c>
      <c r="H38" s="12">
        <f t="shared" si="8"/>
        <v>38.947368421052659</v>
      </c>
      <c r="I38" s="3">
        <v>0.82018761282014863</v>
      </c>
      <c r="J38" s="4" t="str">
        <f t="shared" si="3"/>
        <v>B</v>
      </c>
      <c r="K38" s="3">
        <f t="shared" si="5"/>
        <v>0.82018761282014863</v>
      </c>
    </row>
    <row r="39" spans="1:11" x14ac:dyDescent="0.3">
      <c r="A39">
        <v>38</v>
      </c>
      <c r="B39" t="s">
        <v>92</v>
      </c>
      <c r="C39" s="9">
        <v>1174</v>
      </c>
      <c r="D39" s="9">
        <v>895.27210000000002</v>
      </c>
      <c r="E39">
        <f t="shared" si="7"/>
        <v>1051049.4454000001</v>
      </c>
      <c r="F39" s="3">
        <f t="shared" si="4"/>
        <v>4.959501285672463E-3</v>
      </c>
      <c r="G39">
        <f t="shared" si="6"/>
        <v>1.0526315789473684</v>
      </c>
      <c r="H39" s="12">
        <f t="shared" si="8"/>
        <v>40.000000000000028</v>
      </c>
      <c r="I39" s="3">
        <v>0.82514711410582109</v>
      </c>
      <c r="J39" s="4" t="str">
        <f t="shared" si="3"/>
        <v>B</v>
      </c>
      <c r="K39" s="3">
        <f t="shared" si="5"/>
        <v>0.82514711410582109</v>
      </c>
    </row>
    <row r="40" spans="1:11" x14ac:dyDescent="0.3">
      <c r="A40">
        <v>39</v>
      </c>
      <c r="B40" t="s">
        <v>23</v>
      </c>
      <c r="C40" s="9">
        <v>2346</v>
      </c>
      <c r="D40" s="9">
        <v>445.42750000000001</v>
      </c>
      <c r="E40">
        <f t="shared" si="7"/>
        <v>1044972.915</v>
      </c>
      <c r="F40" s="3">
        <f t="shared" si="4"/>
        <v>4.9308284573262862E-3</v>
      </c>
      <c r="G40">
        <f t="shared" si="6"/>
        <v>1.0526315789473684</v>
      </c>
      <c r="H40" s="12">
        <f t="shared" si="8"/>
        <v>41.052631578947398</v>
      </c>
      <c r="I40" s="3">
        <v>0.83007794256314738</v>
      </c>
      <c r="J40" s="4" t="str">
        <f t="shared" si="3"/>
        <v>B</v>
      </c>
      <c r="K40" s="3">
        <f t="shared" si="5"/>
        <v>0.83007794256314738</v>
      </c>
    </row>
    <row r="41" spans="1:11" x14ac:dyDescent="0.3">
      <c r="A41">
        <v>40</v>
      </c>
      <c r="B41" t="s">
        <v>25</v>
      </c>
      <c r="C41" s="9">
        <v>1883</v>
      </c>
      <c r="D41" s="9">
        <v>545.85069999999996</v>
      </c>
      <c r="E41">
        <f t="shared" si="7"/>
        <v>1027836.8681</v>
      </c>
      <c r="F41" s="3">
        <f t="shared" si="4"/>
        <v>4.8499699905778515E-3</v>
      </c>
      <c r="G41">
        <f t="shared" si="6"/>
        <v>1.0526315789473684</v>
      </c>
      <c r="H41" s="12">
        <f t="shared" si="8"/>
        <v>42.105263157894768</v>
      </c>
      <c r="I41" s="3">
        <v>0.83492791255372523</v>
      </c>
      <c r="J41" s="4" t="str">
        <f t="shared" si="3"/>
        <v>B</v>
      </c>
      <c r="K41" s="3">
        <f t="shared" si="5"/>
        <v>0.83492791255372523</v>
      </c>
    </row>
    <row r="42" spans="1:11" x14ac:dyDescent="0.3">
      <c r="A42">
        <v>41</v>
      </c>
      <c r="B42" t="s">
        <v>36</v>
      </c>
      <c r="C42" s="9">
        <v>1757</v>
      </c>
      <c r="D42" s="9">
        <v>575.24940000000004</v>
      </c>
      <c r="E42">
        <f t="shared" si="7"/>
        <v>1010713.1958000001</v>
      </c>
      <c r="F42" s="3">
        <f t="shared" si="4"/>
        <v>4.7691699148449951E-3</v>
      </c>
      <c r="G42">
        <f t="shared" si="6"/>
        <v>1.0526315789473684</v>
      </c>
      <c r="H42" s="12">
        <f t="shared" si="8"/>
        <v>43.157894736842138</v>
      </c>
      <c r="I42" s="3">
        <v>0.83969708246857022</v>
      </c>
      <c r="J42" s="4" t="str">
        <f t="shared" si="3"/>
        <v>B</v>
      </c>
      <c r="K42" s="3">
        <f t="shared" si="5"/>
        <v>0.83969708246857022</v>
      </c>
    </row>
    <row r="43" spans="1:11" x14ac:dyDescent="0.3">
      <c r="A43">
        <v>42</v>
      </c>
      <c r="B43" t="s">
        <v>20</v>
      </c>
      <c r="C43" s="9">
        <v>1731</v>
      </c>
      <c r="D43" s="9">
        <v>575.7722</v>
      </c>
      <c r="E43">
        <f t="shared" si="7"/>
        <v>996661.67819999997</v>
      </c>
      <c r="F43" s="3">
        <f t="shared" si="4"/>
        <v>4.7028661649045622E-3</v>
      </c>
      <c r="G43">
        <f t="shared" si="6"/>
        <v>1.0526315789473684</v>
      </c>
      <c r="H43" s="12">
        <f t="shared" si="8"/>
        <v>44.210526315789508</v>
      </c>
      <c r="I43" s="3">
        <v>0.84439994863347478</v>
      </c>
      <c r="J43" s="4" t="str">
        <f t="shared" si="3"/>
        <v>B</v>
      </c>
      <c r="K43" s="3">
        <f t="shared" si="5"/>
        <v>0.84439994863347478</v>
      </c>
    </row>
    <row r="44" spans="1:11" x14ac:dyDescent="0.3">
      <c r="A44">
        <v>43</v>
      </c>
      <c r="B44" t="s">
        <v>15</v>
      </c>
      <c r="C44" s="9">
        <v>1541</v>
      </c>
      <c r="D44" s="9">
        <v>625.29280000000006</v>
      </c>
      <c r="E44">
        <f t="shared" si="7"/>
        <v>963576.20480000007</v>
      </c>
      <c r="F44" s="3">
        <f t="shared" si="4"/>
        <v>4.5467484402984537E-3</v>
      </c>
      <c r="G44">
        <f t="shared" si="6"/>
        <v>1.0526315789473684</v>
      </c>
      <c r="H44" s="12">
        <f t="shared" si="8"/>
        <v>45.263157894736878</v>
      </c>
      <c r="I44" s="3">
        <v>0.84894669707377324</v>
      </c>
      <c r="J44" s="4" t="str">
        <f t="shared" si="3"/>
        <v>B</v>
      </c>
      <c r="K44" s="3">
        <f t="shared" si="5"/>
        <v>0.84894669707377324</v>
      </c>
    </row>
    <row r="45" spans="1:11" x14ac:dyDescent="0.3">
      <c r="A45">
        <v>44</v>
      </c>
      <c r="B45" t="s">
        <v>55</v>
      </c>
      <c r="C45" s="9">
        <v>1923</v>
      </c>
      <c r="D45" s="9">
        <v>495.21820000000002</v>
      </c>
      <c r="E45">
        <f t="shared" si="7"/>
        <v>952304.59860000003</v>
      </c>
      <c r="F45" s="3">
        <f t="shared" si="4"/>
        <v>4.4935620315283975E-3</v>
      </c>
      <c r="G45">
        <f t="shared" si="6"/>
        <v>1.0526315789473684</v>
      </c>
      <c r="H45" s="12">
        <f t="shared" si="8"/>
        <v>46.315789473684248</v>
      </c>
      <c r="I45" s="3">
        <v>0.85344025910530164</v>
      </c>
      <c r="J45" s="4" t="str">
        <f t="shared" si="3"/>
        <v>B</v>
      </c>
      <c r="K45" s="3">
        <f t="shared" si="5"/>
        <v>0.85344025910530164</v>
      </c>
    </row>
    <row r="46" spans="1:11" x14ac:dyDescent="0.3">
      <c r="A46">
        <v>45</v>
      </c>
      <c r="B46" t="s">
        <v>80</v>
      </c>
      <c r="C46" s="9">
        <v>1727</v>
      </c>
      <c r="D46" s="9">
        <v>545.2047</v>
      </c>
      <c r="E46">
        <f t="shared" si="7"/>
        <v>941568.51690000005</v>
      </c>
      <c r="F46" s="3">
        <f t="shared" si="4"/>
        <v>4.4429025585347448E-3</v>
      </c>
      <c r="G46">
        <f t="shared" si="6"/>
        <v>1.0526315789473684</v>
      </c>
      <c r="H46" s="12">
        <f t="shared" si="8"/>
        <v>47.368421052631618</v>
      </c>
      <c r="I46" s="3">
        <v>0.85788316166383638</v>
      </c>
      <c r="J46" s="4" t="str">
        <f t="shared" si="3"/>
        <v>B</v>
      </c>
      <c r="K46" s="3">
        <f t="shared" si="5"/>
        <v>0.85788316166383638</v>
      </c>
    </row>
    <row r="47" spans="1:11" x14ac:dyDescent="0.3">
      <c r="A47">
        <v>46</v>
      </c>
      <c r="B47" t="s">
        <v>75</v>
      </c>
      <c r="C47" s="9">
        <v>1934</v>
      </c>
      <c r="D47" s="9">
        <v>485.91</v>
      </c>
      <c r="E47">
        <f t="shared" si="7"/>
        <v>939749.94000000006</v>
      </c>
      <c r="F47" s="3">
        <f t="shared" si="4"/>
        <v>4.4343213880549959E-3</v>
      </c>
      <c r="G47">
        <f t="shared" si="6"/>
        <v>1.0526315789473684</v>
      </c>
      <c r="H47" s="12">
        <f t="shared" si="8"/>
        <v>48.421052631578988</v>
      </c>
      <c r="I47" s="3">
        <v>0.86231748305189138</v>
      </c>
      <c r="J47" s="4" t="str">
        <f t="shared" si="3"/>
        <v>B</v>
      </c>
      <c r="K47" s="3">
        <f t="shared" si="5"/>
        <v>0.86231748305189138</v>
      </c>
    </row>
    <row r="48" spans="1:11" x14ac:dyDescent="0.3">
      <c r="A48">
        <v>47</v>
      </c>
      <c r="B48" t="s">
        <v>51</v>
      </c>
      <c r="C48" s="9">
        <v>1906</v>
      </c>
      <c r="D48" s="9">
        <v>485.79910000000001</v>
      </c>
      <c r="E48">
        <f t="shared" si="7"/>
        <v>925933.08460000006</v>
      </c>
      <c r="F48" s="3">
        <f t="shared" si="4"/>
        <v>4.369124919496703E-3</v>
      </c>
      <c r="G48">
        <f t="shared" si="6"/>
        <v>1.0526315789473684</v>
      </c>
      <c r="H48" s="12">
        <f t="shared" si="8"/>
        <v>49.473684210526358</v>
      </c>
      <c r="I48" s="3">
        <v>0.86668660797138808</v>
      </c>
      <c r="J48" s="4" t="str">
        <f t="shared" si="3"/>
        <v>B</v>
      </c>
      <c r="K48" s="3">
        <f t="shared" si="5"/>
        <v>0.86668660797138808</v>
      </c>
    </row>
    <row r="49" spans="1:11" x14ac:dyDescent="0.3">
      <c r="A49">
        <v>48</v>
      </c>
      <c r="B49" t="s">
        <v>88</v>
      </c>
      <c r="C49" s="9">
        <v>1906</v>
      </c>
      <c r="D49" s="9">
        <v>485.61349999999999</v>
      </c>
      <c r="E49">
        <f t="shared" si="7"/>
        <v>925579.33100000001</v>
      </c>
      <c r="F49" s="3">
        <f t="shared" si="4"/>
        <v>4.3674556912394191E-3</v>
      </c>
      <c r="G49">
        <f t="shared" si="6"/>
        <v>1.0526315789473684</v>
      </c>
      <c r="H49" s="12">
        <f t="shared" si="8"/>
        <v>50.526315789473728</v>
      </c>
      <c r="I49" s="3">
        <v>0.8710540636626275</v>
      </c>
      <c r="J49" s="4" t="str">
        <f t="shared" si="3"/>
        <v>B</v>
      </c>
      <c r="K49" s="3">
        <f t="shared" si="5"/>
        <v>0.8710540636626275</v>
      </c>
    </row>
    <row r="50" spans="1:11" x14ac:dyDescent="0.3">
      <c r="A50">
        <v>49</v>
      </c>
      <c r="B50" t="s">
        <v>16</v>
      </c>
      <c r="C50" s="9">
        <v>1450</v>
      </c>
      <c r="D50" s="9">
        <v>625.81709999999998</v>
      </c>
      <c r="E50">
        <f t="shared" si="7"/>
        <v>907434.79499999993</v>
      </c>
      <c r="F50" s="3">
        <f t="shared" si="4"/>
        <v>4.2818385492355837E-3</v>
      </c>
      <c r="G50">
        <f t="shared" si="6"/>
        <v>1.0526315789473684</v>
      </c>
      <c r="H50" s="12">
        <f t="shared" si="8"/>
        <v>51.578947368421098</v>
      </c>
      <c r="I50" s="3">
        <v>0.87533590221186308</v>
      </c>
      <c r="J50" s="4" t="str">
        <f t="shared" si="3"/>
        <v>B</v>
      </c>
      <c r="K50" s="3">
        <f t="shared" si="5"/>
        <v>0.87533590221186308</v>
      </c>
    </row>
    <row r="51" spans="1:11" x14ac:dyDescent="0.3">
      <c r="A51">
        <v>50</v>
      </c>
      <c r="B51" t="s">
        <v>37</v>
      </c>
      <c r="C51" s="9">
        <v>954</v>
      </c>
      <c r="D51" s="9">
        <v>925.23979999999995</v>
      </c>
      <c r="E51">
        <f t="shared" si="7"/>
        <v>882678.76919999998</v>
      </c>
      <c r="F51" s="3">
        <f t="shared" si="4"/>
        <v>4.1650243096005291E-3</v>
      </c>
      <c r="G51">
        <f t="shared" si="6"/>
        <v>1.0526315789473684</v>
      </c>
      <c r="H51" s="12">
        <f t="shared" si="8"/>
        <v>52.631578947368467</v>
      </c>
      <c r="I51" s="3">
        <v>0.87950092652146361</v>
      </c>
      <c r="J51" s="4" t="str">
        <f t="shared" si="3"/>
        <v>B</v>
      </c>
      <c r="K51" s="3">
        <f t="shared" si="5"/>
        <v>0.87950092652146361</v>
      </c>
    </row>
    <row r="52" spans="1:11" x14ac:dyDescent="0.3">
      <c r="A52">
        <v>51</v>
      </c>
      <c r="B52" t="s">
        <v>60</v>
      </c>
      <c r="C52" s="9">
        <v>1007</v>
      </c>
      <c r="D52" s="9">
        <v>825.36720000000003</v>
      </c>
      <c r="E52">
        <f t="shared" si="7"/>
        <v>831144.77040000004</v>
      </c>
      <c r="F52" s="3">
        <f t="shared" si="4"/>
        <v>3.9218550330045732E-3</v>
      </c>
      <c r="G52">
        <f t="shared" si="6"/>
        <v>1.0526315789473684</v>
      </c>
      <c r="H52" s="12">
        <f t="shared" si="8"/>
        <v>53.684210526315837</v>
      </c>
      <c r="I52" s="3">
        <v>0.88342278155446818</v>
      </c>
      <c r="J52" s="4" t="str">
        <f t="shared" si="3"/>
        <v>B</v>
      </c>
      <c r="K52" s="3">
        <f t="shared" si="5"/>
        <v>0.88342278155446818</v>
      </c>
    </row>
    <row r="53" spans="1:11" x14ac:dyDescent="0.3">
      <c r="A53">
        <v>52</v>
      </c>
      <c r="B53" t="s">
        <v>79</v>
      </c>
      <c r="C53" s="9">
        <v>1428</v>
      </c>
      <c r="D53" s="9">
        <v>575.19200000000001</v>
      </c>
      <c r="E53">
        <f t="shared" si="7"/>
        <v>821374.17599999998</v>
      </c>
      <c r="F53" s="3">
        <f t="shared" si="4"/>
        <v>3.8757513261803433E-3</v>
      </c>
      <c r="G53">
        <f t="shared" si="6"/>
        <v>1.0526315789473684</v>
      </c>
      <c r="H53" s="12">
        <f t="shared" si="8"/>
        <v>54.736842105263207</v>
      </c>
      <c r="I53" s="3">
        <v>0.88729853288064853</v>
      </c>
      <c r="J53" s="4" t="str">
        <f t="shared" si="3"/>
        <v>B</v>
      </c>
      <c r="K53" s="3">
        <f t="shared" si="5"/>
        <v>0.88729853288064853</v>
      </c>
    </row>
    <row r="54" spans="1:11" x14ac:dyDescent="0.3">
      <c r="A54">
        <v>53</v>
      </c>
      <c r="B54" t="s">
        <v>53</v>
      </c>
      <c r="C54" s="9">
        <v>1255</v>
      </c>
      <c r="D54" s="9">
        <v>625.64930000000004</v>
      </c>
      <c r="E54">
        <f t="shared" si="7"/>
        <v>785189.87150000001</v>
      </c>
      <c r="F54" s="3">
        <f t="shared" si="4"/>
        <v>3.7050114000291012E-3</v>
      </c>
      <c r="G54">
        <f t="shared" si="6"/>
        <v>1.0526315789473684</v>
      </c>
      <c r="H54" s="12">
        <f t="shared" si="8"/>
        <v>55.789473684210577</v>
      </c>
      <c r="I54" s="3">
        <v>0.89100354428067763</v>
      </c>
      <c r="J54" s="4" t="str">
        <f t="shared" si="3"/>
        <v>B</v>
      </c>
      <c r="K54" s="3">
        <f t="shared" si="5"/>
        <v>0.89100354428067763</v>
      </c>
    </row>
    <row r="55" spans="1:11" x14ac:dyDescent="0.3">
      <c r="A55">
        <v>54</v>
      </c>
      <c r="B55" t="s">
        <v>97</v>
      </c>
      <c r="C55" s="9">
        <v>1580</v>
      </c>
      <c r="D55" s="9">
        <v>495.89530000000002</v>
      </c>
      <c r="E55">
        <f t="shared" si="7"/>
        <v>783514.57400000002</v>
      </c>
      <c r="F55" s="3">
        <f t="shared" si="4"/>
        <v>3.6971063103670154E-3</v>
      </c>
      <c r="G55">
        <f t="shared" si="6"/>
        <v>1.0526315789473684</v>
      </c>
      <c r="H55" s="12">
        <f t="shared" si="8"/>
        <v>56.842105263157947</v>
      </c>
      <c r="I55" s="3">
        <v>0.89470065059104464</v>
      </c>
      <c r="J55" s="4" t="str">
        <f t="shared" si="3"/>
        <v>B</v>
      </c>
      <c r="K55" s="3">
        <f t="shared" si="5"/>
        <v>0.89470065059104464</v>
      </c>
    </row>
    <row r="56" spans="1:11" x14ac:dyDescent="0.3">
      <c r="A56">
        <v>55</v>
      </c>
      <c r="B56" t="s">
        <v>12</v>
      </c>
      <c r="C56" s="9">
        <v>989</v>
      </c>
      <c r="D56" s="9">
        <v>785.96489999999994</v>
      </c>
      <c r="E56">
        <f t="shared" si="7"/>
        <v>777319.28609999991</v>
      </c>
      <c r="F56" s="3">
        <f t="shared" si="4"/>
        <v>3.6678731106924989E-3</v>
      </c>
      <c r="G56">
        <f t="shared" si="6"/>
        <v>1.0526315789473684</v>
      </c>
      <c r="H56" s="12">
        <f t="shared" si="8"/>
        <v>57.894736842105317</v>
      </c>
      <c r="I56" s="3">
        <v>0.89836852370173714</v>
      </c>
      <c r="J56" s="4" t="str">
        <f t="shared" si="3"/>
        <v>B</v>
      </c>
      <c r="K56" s="3">
        <f t="shared" si="5"/>
        <v>0.89836852370173714</v>
      </c>
    </row>
    <row r="57" spans="1:11" x14ac:dyDescent="0.3">
      <c r="A57">
        <v>56</v>
      </c>
      <c r="B57" t="s">
        <v>27</v>
      </c>
      <c r="C57" s="9">
        <v>921</v>
      </c>
      <c r="D57" s="9">
        <v>825.25739999999996</v>
      </c>
      <c r="E57">
        <f t="shared" si="7"/>
        <v>760062.06539999996</v>
      </c>
      <c r="F57" s="3">
        <f t="shared" si="4"/>
        <v>3.5864428710178364E-3</v>
      </c>
      <c r="G57">
        <f t="shared" si="6"/>
        <v>1.0526315789473684</v>
      </c>
      <c r="H57" s="12">
        <f t="shared" si="8"/>
        <v>58.947368421052687</v>
      </c>
      <c r="I57" s="3">
        <v>0.90195496657275498</v>
      </c>
      <c r="J57" s="4" t="str">
        <f t="shared" si="3"/>
        <v>B</v>
      </c>
      <c r="K57" s="3">
        <f t="shared" si="5"/>
        <v>0.90195496657275498</v>
      </c>
    </row>
    <row r="58" spans="1:11" x14ac:dyDescent="0.3">
      <c r="A58">
        <v>57</v>
      </c>
      <c r="B58" t="s">
        <v>67</v>
      </c>
      <c r="C58" s="9">
        <v>1541</v>
      </c>
      <c r="D58" s="9">
        <v>485.57780000000002</v>
      </c>
      <c r="E58">
        <f t="shared" si="7"/>
        <v>748275.3898</v>
      </c>
      <c r="F58" s="3">
        <f t="shared" si="4"/>
        <v>3.5308260462835195E-3</v>
      </c>
      <c r="G58">
        <f t="shared" si="6"/>
        <v>1.0526315789473684</v>
      </c>
      <c r="H58" s="12">
        <f t="shared" si="8"/>
        <v>60.000000000000057</v>
      </c>
      <c r="I58" s="3">
        <v>0.9054857926190385</v>
      </c>
      <c r="J58" s="4" t="str">
        <f t="shared" si="3"/>
        <v>B</v>
      </c>
      <c r="K58" s="3">
        <f t="shared" si="5"/>
        <v>0.9054857926190385</v>
      </c>
    </row>
    <row r="59" spans="1:11" x14ac:dyDescent="0.3">
      <c r="A59">
        <v>58</v>
      </c>
      <c r="B59" t="s">
        <v>52</v>
      </c>
      <c r="C59" s="9">
        <v>1250</v>
      </c>
      <c r="D59" s="9">
        <v>575.85559999999998</v>
      </c>
      <c r="E59">
        <f t="shared" si="7"/>
        <v>719819.5</v>
      </c>
      <c r="F59" s="3">
        <f t="shared" si="4"/>
        <v>3.396553560183313E-3</v>
      </c>
      <c r="G59">
        <f t="shared" si="6"/>
        <v>1.0526315789473684</v>
      </c>
      <c r="H59" s="12">
        <f t="shared" si="8"/>
        <v>61.052631578947427</v>
      </c>
      <c r="I59" s="3">
        <v>0.90888234617922181</v>
      </c>
      <c r="J59" s="4" t="str">
        <f t="shared" si="3"/>
        <v>B</v>
      </c>
      <c r="K59" s="3">
        <f t="shared" si="5"/>
        <v>0.90888234617922181</v>
      </c>
    </row>
    <row r="60" spans="1:11" x14ac:dyDescent="0.3">
      <c r="A60">
        <v>59</v>
      </c>
      <c r="B60" t="s">
        <v>99</v>
      </c>
      <c r="C60" s="9">
        <v>1200</v>
      </c>
      <c r="D60" s="9">
        <v>585.53210000000001</v>
      </c>
      <c r="E60">
        <f t="shared" si="7"/>
        <v>702638.52</v>
      </c>
      <c r="F60" s="3">
        <f t="shared" si="4"/>
        <v>3.3154830712809336E-3</v>
      </c>
      <c r="G60">
        <f t="shared" ref="G60:G96" si="9">1/95 *100</f>
        <v>1.0526315789473684</v>
      </c>
      <c r="H60" s="12">
        <f t="shared" si="8"/>
        <v>62.105263157894797</v>
      </c>
      <c r="I60" s="3">
        <v>0.91219782925050275</v>
      </c>
      <c r="J60" s="4" t="str">
        <f t="shared" si="3"/>
        <v>B</v>
      </c>
      <c r="K60" s="3">
        <f t="shared" si="5"/>
        <v>0.91219782925050275</v>
      </c>
    </row>
    <row r="61" spans="1:11" x14ac:dyDescent="0.3">
      <c r="A61">
        <v>60</v>
      </c>
      <c r="B61" t="s">
        <v>45</v>
      </c>
      <c r="C61" s="9">
        <v>1181</v>
      </c>
      <c r="D61" s="9">
        <v>575.5453</v>
      </c>
      <c r="E61">
        <f t="shared" si="7"/>
        <v>679718.99930000002</v>
      </c>
      <c r="F61" s="3">
        <f t="shared" si="4"/>
        <v>3.207334598460676E-3</v>
      </c>
      <c r="G61">
        <f t="shared" si="9"/>
        <v>1.0526315789473684</v>
      </c>
      <c r="H61" s="12">
        <f t="shared" si="8"/>
        <v>63.157894736842167</v>
      </c>
      <c r="I61" s="3">
        <v>0.91540516384896342</v>
      </c>
      <c r="J61" s="4" t="str">
        <f t="shared" si="3"/>
        <v>B</v>
      </c>
      <c r="K61" s="3">
        <f t="shared" si="5"/>
        <v>0.91540516384896342</v>
      </c>
    </row>
    <row r="62" spans="1:11" x14ac:dyDescent="0.3">
      <c r="A62">
        <v>61</v>
      </c>
      <c r="B62" t="s">
        <v>93</v>
      </c>
      <c r="C62" s="9">
        <v>1229</v>
      </c>
      <c r="D62" s="9">
        <v>545.61620000000005</v>
      </c>
      <c r="E62">
        <f t="shared" si="7"/>
        <v>670562.30980000005</v>
      </c>
      <c r="F62" s="3">
        <f t="shared" si="4"/>
        <v>3.1641276746128266E-3</v>
      </c>
      <c r="G62">
        <f t="shared" si="9"/>
        <v>1.0526315789473684</v>
      </c>
      <c r="H62" s="12">
        <f t="shared" si="8"/>
        <v>64.210526315789537</v>
      </c>
      <c r="I62" s="3">
        <v>0.91856929152357625</v>
      </c>
      <c r="J62" s="4" t="str">
        <f t="shared" si="3"/>
        <v>B</v>
      </c>
      <c r="K62" s="3">
        <f t="shared" si="5"/>
        <v>0.91856929152357625</v>
      </c>
    </row>
    <row r="63" spans="1:11" x14ac:dyDescent="0.3">
      <c r="A63">
        <v>62</v>
      </c>
      <c r="B63" t="s">
        <v>21</v>
      </c>
      <c r="C63" s="9">
        <v>1364</v>
      </c>
      <c r="D63" s="9">
        <v>485.28210000000001</v>
      </c>
      <c r="E63">
        <f t="shared" si="7"/>
        <v>661924.7844</v>
      </c>
      <c r="F63" s="3">
        <f t="shared" si="4"/>
        <v>3.1233704880562208E-3</v>
      </c>
      <c r="G63">
        <f t="shared" si="9"/>
        <v>1.0526315789473684</v>
      </c>
      <c r="H63" s="12">
        <f t="shared" si="8"/>
        <v>65.263157894736906</v>
      </c>
      <c r="I63" s="3">
        <v>0.92169266201163247</v>
      </c>
      <c r="J63" s="4" t="str">
        <f t="shared" si="3"/>
        <v>B</v>
      </c>
      <c r="K63" s="3">
        <f t="shared" si="5"/>
        <v>0.92169266201163247</v>
      </c>
    </row>
    <row r="64" spans="1:11" x14ac:dyDescent="0.3">
      <c r="A64">
        <v>63</v>
      </c>
      <c r="B64" t="s">
        <v>86</v>
      </c>
      <c r="C64" s="9">
        <v>1440</v>
      </c>
      <c r="D64" s="9">
        <v>455.75630000000001</v>
      </c>
      <c r="E64">
        <f t="shared" si="7"/>
        <v>656289.07200000004</v>
      </c>
      <c r="F64" s="3">
        <f t="shared" si="4"/>
        <v>3.0967777116499562E-3</v>
      </c>
      <c r="G64">
        <f t="shared" si="9"/>
        <v>1.0526315789473684</v>
      </c>
      <c r="H64" s="12">
        <f t="shared" si="8"/>
        <v>66.315789473684276</v>
      </c>
      <c r="I64" s="3">
        <v>0.92478943972328242</v>
      </c>
      <c r="J64" s="4" t="str">
        <f t="shared" si="3"/>
        <v>B</v>
      </c>
      <c r="K64" s="3">
        <f t="shared" si="5"/>
        <v>0.92478943972328242</v>
      </c>
    </row>
    <row r="65" spans="1:11" x14ac:dyDescent="0.3">
      <c r="A65">
        <v>64</v>
      </c>
      <c r="B65" t="s">
        <v>74</v>
      </c>
      <c r="C65" s="9">
        <v>1102</v>
      </c>
      <c r="D65" s="9">
        <v>585.31110000000001</v>
      </c>
      <c r="E65">
        <f t="shared" si="7"/>
        <v>645012.83220000006</v>
      </c>
      <c r="F65" s="3">
        <f t="shared" si="4"/>
        <v>3.0435694386896639E-3</v>
      </c>
      <c r="G65">
        <f t="shared" si="9"/>
        <v>1.0526315789473684</v>
      </c>
      <c r="H65" s="12">
        <f t="shared" si="8"/>
        <v>67.368421052631646</v>
      </c>
      <c r="I65" s="3">
        <v>0.92783300916197209</v>
      </c>
      <c r="J65" s="4" t="str">
        <f t="shared" si="3"/>
        <v>B</v>
      </c>
      <c r="K65" s="3">
        <f t="shared" si="5"/>
        <v>0.92783300916197209</v>
      </c>
    </row>
    <row r="66" spans="1:11" x14ac:dyDescent="0.3">
      <c r="A66">
        <v>65</v>
      </c>
      <c r="B66" t="s">
        <v>56</v>
      </c>
      <c r="C66" s="9">
        <v>856</v>
      </c>
      <c r="D66" s="9">
        <v>745.86189999999999</v>
      </c>
      <c r="E66">
        <f t="shared" ref="E66:E96" si="10">C66*D66</f>
        <v>638457.78639999998</v>
      </c>
      <c r="F66" s="3">
        <f t="shared" si="4"/>
        <v>3.012638678757229E-3</v>
      </c>
      <c r="G66">
        <f t="shared" si="9"/>
        <v>1.0526315789473684</v>
      </c>
      <c r="H66" s="12">
        <f t="shared" si="8"/>
        <v>68.421052631579016</v>
      </c>
      <c r="I66" s="3">
        <v>0.93084564784072932</v>
      </c>
      <c r="J66" s="4" t="str">
        <f t="shared" si="3"/>
        <v>B</v>
      </c>
      <c r="K66" s="3">
        <f t="shared" si="5"/>
        <v>0.93084564784072932</v>
      </c>
    </row>
    <row r="67" spans="1:11" x14ac:dyDescent="0.3">
      <c r="A67">
        <v>66</v>
      </c>
      <c r="B67" t="s">
        <v>58</v>
      </c>
      <c r="C67" s="9">
        <v>1205</v>
      </c>
      <c r="D67" s="9">
        <v>525.82360000000006</v>
      </c>
      <c r="E67">
        <f t="shared" si="10"/>
        <v>633617.43800000008</v>
      </c>
      <c r="F67" s="3">
        <f t="shared" si="4"/>
        <v>2.9897989215812437E-3</v>
      </c>
      <c r="G67">
        <f t="shared" si="9"/>
        <v>1.0526315789473684</v>
      </c>
      <c r="H67" s="12">
        <f t="shared" ref="H67:H96" si="11">H66+G67</f>
        <v>69.473684210526386</v>
      </c>
      <c r="I67" s="3">
        <v>0.93383544676231056</v>
      </c>
      <c r="J67" s="4" t="str">
        <f t="shared" ref="J67:J96" si="12">IF(I67&lt;61%,"A", IF(I67&lt;95%, "B", "C"))</f>
        <v>B</v>
      </c>
      <c r="K67" s="3">
        <f t="shared" si="5"/>
        <v>0.93383544676231056</v>
      </c>
    </row>
    <row r="68" spans="1:11" x14ac:dyDescent="0.3">
      <c r="A68">
        <v>67</v>
      </c>
      <c r="B68" t="s">
        <v>49</v>
      </c>
      <c r="C68" s="9">
        <v>1371</v>
      </c>
      <c r="D68" s="9">
        <v>455.38929999999999</v>
      </c>
      <c r="E68">
        <f t="shared" si="10"/>
        <v>624338.73029999994</v>
      </c>
      <c r="F68" s="3">
        <f t="shared" ref="F68:F96" si="13">I68-I67</f>
        <v>2.9460162404058021E-3</v>
      </c>
      <c r="G68">
        <f t="shared" si="9"/>
        <v>1.0526315789473684</v>
      </c>
      <c r="H68" s="12">
        <f t="shared" si="11"/>
        <v>70.526315789473756</v>
      </c>
      <c r="I68" s="3">
        <v>0.93678146300271636</v>
      </c>
      <c r="J68" s="4" t="str">
        <f t="shared" si="12"/>
        <v>B</v>
      </c>
      <c r="K68" s="3">
        <f t="shared" ref="K68:K95" si="14">K67+F68</f>
        <v>0.93678146300271636</v>
      </c>
    </row>
    <row r="69" spans="1:11" x14ac:dyDescent="0.3">
      <c r="A69">
        <v>68</v>
      </c>
      <c r="B69" t="s">
        <v>30</v>
      </c>
      <c r="C69" s="9">
        <v>1181</v>
      </c>
      <c r="D69" s="9">
        <v>525.90250000000003</v>
      </c>
      <c r="E69">
        <f t="shared" si="10"/>
        <v>621090.85250000004</v>
      </c>
      <c r="F69" s="3">
        <f t="shared" si="13"/>
        <v>2.9306907443549246E-3</v>
      </c>
      <c r="G69">
        <f t="shared" si="9"/>
        <v>1.0526315789473684</v>
      </c>
      <c r="H69" s="12">
        <f t="shared" si="11"/>
        <v>71.578947368421126</v>
      </c>
      <c r="I69" s="3">
        <v>0.93971215374707129</v>
      </c>
      <c r="J69" s="4" t="str">
        <f t="shared" si="12"/>
        <v>B</v>
      </c>
      <c r="K69" s="3">
        <f t="shared" si="14"/>
        <v>0.93971215374707129</v>
      </c>
    </row>
    <row r="70" spans="1:11" x14ac:dyDescent="0.3">
      <c r="A70">
        <v>69</v>
      </c>
      <c r="B70" t="s">
        <v>100</v>
      </c>
      <c r="C70" s="9">
        <v>1277</v>
      </c>
      <c r="D70" s="9">
        <v>485.36380000000003</v>
      </c>
      <c r="E70">
        <f t="shared" si="10"/>
        <v>619809.57260000007</v>
      </c>
      <c r="F70" s="3">
        <f t="shared" si="13"/>
        <v>2.9246448734026043E-3</v>
      </c>
      <c r="G70">
        <f t="shared" si="9"/>
        <v>1.0526315789473684</v>
      </c>
      <c r="H70" s="12">
        <f t="shared" si="11"/>
        <v>72.631578947368496</v>
      </c>
      <c r="I70" s="3">
        <v>0.94263679862047389</v>
      </c>
      <c r="J70" s="4" t="str">
        <f t="shared" si="12"/>
        <v>B</v>
      </c>
      <c r="K70" s="3">
        <f t="shared" si="14"/>
        <v>0.94263679862047389</v>
      </c>
    </row>
    <row r="71" spans="1:11" x14ac:dyDescent="0.3">
      <c r="A71">
        <v>70</v>
      </c>
      <c r="B71" t="s">
        <v>13</v>
      </c>
      <c r="C71" s="9">
        <v>1161</v>
      </c>
      <c r="D71" s="9">
        <v>525.88829999999996</v>
      </c>
      <c r="E71">
        <f t="shared" si="10"/>
        <v>610556.31629999995</v>
      </c>
      <c r="F71" s="3">
        <f t="shared" si="13"/>
        <v>2.8809822876720848E-3</v>
      </c>
      <c r="G71">
        <f t="shared" si="9"/>
        <v>1.0526315789473684</v>
      </c>
      <c r="H71" s="12">
        <f t="shared" si="11"/>
        <v>73.684210526315866</v>
      </c>
      <c r="I71" s="3">
        <v>0.94551778090814598</v>
      </c>
      <c r="J71" s="4" t="str">
        <f t="shared" si="12"/>
        <v>B</v>
      </c>
      <c r="K71" s="3">
        <f t="shared" si="14"/>
        <v>0.94551778090814598</v>
      </c>
    </row>
    <row r="72" spans="1:11" x14ac:dyDescent="0.3">
      <c r="A72">
        <v>71</v>
      </c>
      <c r="B72" t="s">
        <v>19</v>
      </c>
      <c r="C72" s="9">
        <v>1210</v>
      </c>
      <c r="D72" s="9">
        <v>485.13650000000001</v>
      </c>
      <c r="E72">
        <f t="shared" si="10"/>
        <v>587015.16500000004</v>
      </c>
      <c r="F72" s="3">
        <f t="shared" si="13"/>
        <v>2.7699005772455765E-3</v>
      </c>
      <c r="G72">
        <f t="shared" si="9"/>
        <v>1.0526315789473684</v>
      </c>
      <c r="H72" s="12">
        <f t="shared" si="11"/>
        <v>74.736842105263236</v>
      </c>
      <c r="I72" s="3">
        <v>0.94828768148539155</v>
      </c>
      <c r="J72" s="4" t="str">
        <f t="shared" si="12"/>
        <v>B</v>
      </c>
      <c r="K72" s="3">
        <f t="shared" si="14"/>
        <v>0.94828768148539155</v>
      </c>
    </row>
    <row r="73" spans="1:11" x14ac:dyDescent="0.3">
      <c r="A73">
        <v>72</v>
      </c>
      <c r="B73" t="s">
        <v>54</v>
      </c>
      <c r="C73" s="9">
        <v>831</v>
      </c>
      <c r="D73" s="9">
        <v>705.48019999999997</v>
      </c>
      <c r="E73">
        <f t="shared" si="10"/>
        <v>586254.04619999998</v>
      </c>
      <c r="F73" s="3">
        <v>2E-3</v>
      </c>
      <c r="G73">
        <f t="shared" si="9"/>
        <v>1.0526315789473684</v>
      </c>
      <c r="H73" s="12">
        <f t="shared" si="11"/>
        <v>75.789473684210606</v>
      </c>
      <c r="I73" s="3">
        <v>0.95105399063343843</v>
      </c>
      <c r="J73" s="4" t="str">
        <f t="shared" si="12"/>
        <v>C</v>
      </c>
      <c r="K73" s="3">
        <f t="shared" si="14"/>
        <v>0.95028768148539156</v>
      </c>
    </row>
    <row r="74" spans="1:11" x14ac:dyDescent="0.3">
      <c r="A74">
        <v>73</v>
      </c>
      <c r="B74" t="s">
        <v>34</v>
      </c>
      <c r="C74" s="9">
        <v>1071</v>
      </c>
      <c r="D74" s="9">
        <v>545.10479999999995</v>
      </c>
      <c r="E74">
        <f t="shared" si="10"/>
        <v>583807.24079999991</v>
      </c>
      <c r="F74" s="3">
        <v>2E-3</v>
      </c>
      <c r="G74">
        <f t="shared" si="9"/>
        <v>1.0526315789473684</v>
      </c>
      <c r="H74" s="12">
        <f t="shared" si="11"/>
        <v>76.842105263157976</v>
      </c>
      <c r="I74" s="3">
        <v>0.9538087542404261</v>
      </c>
      <c r="J74" s="4" t="str">
        <f t="shared" si="12"/>
        <v>C</v>
      </c>
      <c r="K74" s="3">
        <f t="shared" si="14"/>
        <v>0.95228768148539156</v>
      </c>
    </row>
    <row r="75" spans="1:11" x14ac:dyDescent="0.3">
      <c r="A75">
        <v>74</v>
      </c>
      <c r="B75" t="s">
        <v>63</v>
      </c>
      <c r="C75" s="9">
        <v>1101</v>
      </c>
      <c r="D75" s="9">
        <v>525.60419999999999</v>
      </c>
      <c r="E75">
        <f t="shared" si="10"/>
        <v>578690.22419999994</v>
      </c>
      <c r="F75" s="3">
        <v>2.0999999999999999E-3</v>
      </c>
      <c r="G75">
        <f t="shared" si="9"/>
        <v>1.0526315789473684</v>
      </c>
      <c r="H75" s="12">
        <f t="shared" si="11"/>
        <v>77.894736842105345</v>
      </c>
      <c r="I75" s="3">
        <v>0.9565393725985698</v>
      </c>
      <c r="J75" s="4" t="str">
        <f t="shared" si="12"/>
        <v>C</v>
      </c>
      <c r="K75" s="3">
        <f t="shared" si="14"/>
        <v>0.95438768148539155</v>
      </c>
    </row>
    <row r="76" spans="1:11" x14ac:dyDescent="0.3">
      <c r="A76">
        <v>75</v>
      </c>
      <c r="B76" t="s">
        <v>41</v>
      </c>
      <c r="C76" s="9">
        <v>662</v>
      </c>
      <c r="D76" s="9">
        <v>855.72770000000003</v>
      </c>
      <c r="E76">
        <f t="shared" si="10"/>
        <v>566491.73739999998</v>
      </c>
      <c r="F76" s="3">
        <v>2.2000000000000001E-3</v>
      </c>
      <c r="G76">
        <f t="shared" si="9"/>
        <v>1.0526315789473684</v>
      </c>
      <c r="H76" s="12">
        <f t="shared" si="11"/>
        <v>78.947368421052715</v>
      </c>
      <c r="I76" s="3">
        <v>0.95921243095206032</v>
      </c>
      <c r="J76" s="4" t="str">
        <f t="shared" si="12"/>
        <v>C</v>
      </c>
      <c r="K76" s="3">
        <f t="shared" si="14"/>
        <v>0.95658768148539153</v>
      </c>
    </row>
    <row r="77" spans="1:11" x14ac:dyDescent="0.3">
      <c r="A77">
        <v>76</v>
      </c>
      <c r="B77" t="s">
        <v>71</v>
      </c>
      <c r="C77" s="9">
        <v>1386</v>
      </c>
      <c r="D77" s="9">
        <v>405.45609999999999</v>
      </c>
      <c r="E77">
        <f t="shared" si="10"/>
        <v>561962.15460000001</v>
      </c>
      <c r="F77" s="3">
        <v>2.3E-3</v>
      </c>
      <c r="G77">
        <f t="shared" si="9"/>
        <v>1.0526315789473684</v>
      </c>
      <c r="H77" s="12">
        <f t="shared" si="11"/>
        <v>80.000000000000085</v>
      </c>
      <c r="I77" s="3">
        <v>0.96186411593266297</v>
      </c>
      <c r="J77" s="4" t="str">
        <f t="shared" si="12"/>
        <v>C</v>
      </c>
      <c r="K77" s="3">
        <f t="shared" si="14"/>
        <v>0.9588876814853915</v>
      </c>
    </row>
    <row r="78" spans="1:11" x14ac:dyDescent="0.3">
      <c r="A78">
        <v>77</v>
      </c>
      <c r="B78" t="s">
        <v>85</v>
      </c>
      <c r="C78" s="9">
        <v>1339</v>
      </c>
      <c r="D78" s="9">
        <v>405.85750000000002</v>
      </c>
      <c r="E78">
        <f t="shared" si="10"/>
        <v>543443.1925</v>
      </c>
      <c r="F78" s="3">
        <v>2.3999999999999998E-3</v>
      </c>
      <c r="G78">
        <f t="shared" si="9"/>
        <v>1.0526315789473684</v>
      </c>
      <c r="H78" s="12">
        <f t="shared" si="11"/>
        <v>81.052631578947455</v>
      </c>
      <c r="I78" s="3">
        <v>0.96442841699736492</v>
      </c>
      <c r="J78" s="4" t="str">
        <f t="shared" si="12"/>
        <v>C</v>
      </c>
      <c r="K78" s="3">
        <f t="shared" si="14"/>
        <v>0.96128768148539145</v>
      </c>
    </row>
    <row r="79" spans="1:11" x14ac:dyDescent="0.3">
      <c r="A79">
        <v>78</v>
      </c>
      <c r="B79" t="s">
        <v>9</v>
      </c>
      <c r="C79" s="9">
        <v>866</v>
      </c>
      <c r="D79" s="9">
        <v>625.92100000000005</v>
      </c>
      <c r="E79">
        <f t="shared" si="10"/>
        <v>542047.58600000001</v>
      </c>
      <c r="F79" s="3">
        <f t="shared" si="13"/>
        <v>2.557715730147736E-3</v>
      </c>
      <c r="G79">
        <f t="shared" si="9"/>
        <v>1.0526315789473684</v>
      </c>
      <c r="H79" s="12">
        <f t="shared" si="11"/>
        <v>82.105263157894825</v>
      </c>
      <c r="I79" s="3">
        <v>0.96698613272751266</v>
      </c>
      <c r="J79" s="4" t="str">
        <f t="shared" si="12"/>
        <v>C</v>
      </c>
      <c r="K79" s="3">
        <f t="shared" si="14"/>
        <v>0.96384539721553919</v>
      </c>
    </row>
    <row r="80" spans="1:11" x14ac:dyDescent="0.3">
      <c r="A80">
        <v>79</v>
      </c>
      <c r="B80" t="s">
        <v>78</v>
      </c>
      <c r="C80" s="9">
        <v>894</v>
      </c>
      <c r="D80" s="9">
        <v>575.91700000000003</v>
      </c>
      <c r="E80">
        <f t="shared" si="10"/>
        <v>514869.79800000001</v>
      </c>
      <c r="F80" s="3">
        <f t="shared" si="13"/>
        <v>2.4294741187586011E-3</v>
      </c>
      <c r="G80">
        <f t="shared" si="9"/>
        <v>1.0526315789473684</v>
      </c>
      <c r="H80" s="12">
        <f t="shared" si="11"/>
        <v>83.157894736842195</v>
      </c>
      <c r="I80" s="3">
        <v>0.96941560684627126</v>
      </c>
      <c r="J80" s="4" t="str">
        <f t="shared" si="12"/>
        <v>C</v>
      </c>
      <c r="K80" s="3">
        <f t="shared" si="14"/>
        <v>0.96627487133429779</v>
      </c>
    </row>
    <row r="81" spans="1:11" x14ac:dyDescent="0.3">
      <c r="A81">
        <v>80</v>
      </c>
      <c r="B81" t="s">
        <v>62</v>
      </c>
      <c r="C81" s="9">
        <v>1152</v>
      </c>
      <c r="D81" s="9">
        <v>445.18889999999999</v>
      </c>
      <c r="E81">
        <f t="shared" si="10"/>
        <v>512857.6128</v>
      </c>
      <c r="F81" s="3">
        <f t="shared" si="13"/>
        <v>2.4199793845859352E-3</v>
      </c>
      <c r="G81">
        <f t="shared" si="9"/>
        <v>1.0526315789473684</v>
      </c>
      <c r="H81" s="12">
        <f t="shared" si="11"/>
        <v>84.210526315789565</v>
      </c>
      <c r="I81" s="3">
        <v>0.9718355862308572</v>
      </c>
      <c r="J81" s="4" t="str">
        <f t="shared" si="12"/>
        <v>C</v>
      </c>
      <c r="K81" s="3">
        <f t="shared" si="14"/>
        <v>0.96869485071888373</v>
      </c>
    </row>
    <row r="82" spans="1:11" x14ac:dyDescent="0.3">
      <c r="A82">
        <v>81</v>
      </c>
      <c r="B82" t="s">
        <v>90</v>
      </c>
      <c r="C82" s="9">
        <v>877</v>
      </c>
      <c r="D82" s="9">
        <v>575.31399999999996</v>
      </c>
      <c r="E82">
        <f t="shared" si="10"/>
        <v>504550.37799999997</v>
      </c>
      <c r="F82" s="3">
        <f t="shared" si="13"/>
        <v>2.3807807133423564E-3</v>
      </c>
      <c r="G82">
        <f t="shared" si="9"/>
        <v>1.0526315789473684</v>
      </c>
      <c r="H82" s="12">
        <f t="shared" si="11"/>
        <v>85.263157894736935</v>
      </c>
      <c r="I82" s="3">
        <v>0.97421636694419955</v>
      </c>
      <c r="J82" s="4" t="str">
        <f t="shared" si="12"/>
        <v>C</v>
      </c>
      <c r="K82" s="3">
        <f t="shared" si="14"/>
        <v>0.97107563143222608</v>
      </c>
    </row>
    <row r="83" spans="1:11" x14ac:dyDescent="0.3">
      <c r="A83">
        <v>82</v>
      </c>
      <c r="B83" t="s">
        <v>61</v>
      </c>
      <c r="C83" s="9">
        <v>938</v>
      </c>
      <c r="D83" s="9">
        <v>495.83330000000001</v>
      </c>
      <c r="E83">
        <f t="shared" si="10"/>
        <v>465091.63540000003</v>
      </c>
      <c r="F83" s="3">
        <f t="shared" si="13"/>
        <v>2.1945899632190846E-3</v>
      </c>
      <c r="G83">
        <f t="shared" si="9"/>
        <v>1.0526315789473684</v>
      </c>
      <c r="H83" s="12">
        <f t="shared" si="11"/>
        <v>86.315789473684305</v>
      </c>
      <c r="I83" s="3">
        <v>0.97641095690741864</v>
      </c>
      <c r="J83" s="4" t="str">
        <f t="shared" si="12"/>
        <v>C</v>
      </c>
      <c r="K83" s="3">
        <f t="shared" si="14"/>
        <v>0.97327022139544517</v>
      </c>
    </row>
    <row r="84" spans="1:11" x14ac:dyDescent="0.3">
      <c r="A84">
        <v>83</v>
      </c>
      <c r="B84" t="s">
        <v>84</v>
      </c>
      <c r="C84" s="9">
        <v>781</v>
      </c>
      <c r="D84" s="9">
        <v>585.14710000000002</v>
      </c>
      <c r="E84">
        <f t="shared" si="10"/>
        <v>456999.88510000001</v>
      </c>
      <c r="F84" s="3">
        <f t="shared" si="13"/>
        <v>2.1564080811089514E-3</v>
      </c>
      <c r="G84">
        <f t="shared" si="9"/>
        <v>1.0526315789473684</v>
      </c>
      <c r="H84" s="12">
        <f t="shared" si="11"/>
        <v>87.368421052631675</v>
      </c>
      <c r="I84" s="3">
        <v>0.97856736498852759</v>
      </c>
      <c r="J84" s="4" t="str">
        <f t="shared" si="12"/>
        <v>C</v>
      </c>
      <c r="K84" s="3">
        <f t="shared" si="14"/>
        <v>0.97542662947655412</v>
      </c>
    </row>
    <row r="85" spans="1:11" x14ac:dyDescent="0.3">
      <c r="A85">
        <v>84</v>
      </c>
      <c r="B85" t="s">
        <v>28</v>
      </c>
      <c r="C85" s="9">
        <v>981</v>
      </c>
      <c r="D85" s="9">
        <v>465.20870000000002</v>
      </c>
      <c r="E85">
        <f t="shared" si="10"/>
        <v>456369.73470000003</v>
      </c>
      <c r="F85" s="3">
        <f t="shared" si="13"/>
        <v>2.1534346418167205E-3</v>
      </c>
      <c r="G85">
        <f t="shared" si="9"/>
        <v>1.0526315789473684</v>
      </c>
      <c r="H85" s="12">
        <f t="shared" si="11"/>
        <v>88.421052631579045</v>
      </c>
      <c r="I85" s="3">
        <v>0.98072079963034431</v>
      </c>
      <c r="J85" s="4" t="str">
        <f t="shared" si="12"/>
        <v>C</v>
      </c>
      <c r="K85" s="3">
        <f t="shared" si="14"/>
        <v>0.97758006411837084</v>
      </c>
    </row>
    <row r="86" spans="1:11" x14ac:dyDescent="0.3">
      <c r="A86">
        <v>85</v>
      </c>
      <c r="B86" t="s">
        <v>77</v>
      </c>
      <c r="C86" s="9">
        <v>1023</v>
      </c>
      <c r="D86" s="9">
        <v>445.79</v>
      </c>
      <c r="E86">
        <f t="shared" si="10"/>
        <v>456043.17000000004</v>
      </c>
      <c r="F86" s="3">
        <f t="shared" si="13"/>
        <v>2.1518937076041578E-3</v>
      </c>
      <c r="G86">
        <f t="shared" si="9"/>
        <v>1.0526315789473684</v>
      </c>
      <c r="H86" s="12">
        <f t="shared" si="11"/>
        <v>89.473684210526415</v>
      </c>
      <c r="I86" s="3">
        <v>0.98287269333794847</v>
      </c>
      <c r="J86" s="4" t="str">
        <f t="shared" si="12"/>
        <v>C</v>
      </c>
      <c r="K86" s="3">
        <f t="shared" si="14"/>
        <v>0.979731957825975</v>
      </c>
    </row>
    <row r="87" spans="1:11" x14ac:dyDescent="0.3">
      <c r="A87">
        <v>86</v>
      </c>
      <c r="B87" t="s">
        <v>42</v>
      </c>
      <c r="C87" s="9">
        <v>854</v>
      </c>
      <c r="D87" s="9">
        <v>525.68989999999997</v>
      </c>
      <c r="E87">
        <f t="shared" si="10"/>
        <v>448939.17459999997</v>
      </c>
      <c r="F87" s="3">
        <f t="shared" si="13"/>
        <v>2.1183726639711908E-3</v>
      </c>
      <c r="G87">
        <f t="shared" si="9"/>
        <v>1.0526315789473684</v>
      </c>
      <c r="H87" s="12">
        <f t="shared" si="11"/>
        <v>90.526315789473784</v>
      </c>
      <c r="I87" s="3">
        <v>0.98499106600191966</v>
      </c>
      <c r="J87" s="4" t="str">
        <f t="shared" si="12"/>
        <v>C</v>
      </c>
      <c r="K87" s="3">
        <f t="shared" si="14"/>
        <v>0.98185033048994619</v>
      </c>
    </row>
    <row r="88" spans="1:11" x14ac:dyDescent="0.3">
      <c r="A88">
        <v>87</v>
      </c>
      <c r="B88" t="s">
        <v>82</v>
      </c>
      <c r="C88" s="9">
        <v>978</v>
      </c>
      <c r="D88" s="9">
        <v>445.53899999999999</v>
      </c>
      <c r="E88">
        <f t="shared" si="10"/>
        <v>435737.14199999999</v>
      </c>
      <c r="F88" s="3">
        <f t="shared" si="13"/>
        <v>2.0560773096091056E-3</v>
      </c>
      <c r="G88">
        <f t="shared" si="9"/>
        <v>1.0526315789473684</v>
      </c>
      <c r="H88" s="12">
        <f t="shared" si="11"/>
        <v>91.578947368421154</v>
      </c>
      <c r="I88" s="3">
        <v>0.98704714331152876</v>
      </c>
      <c r="J88" s="4" t="str">
        <f t="shared" si="12"/>
        <v>C</v>
      </c>
      <c r="K88" s="3">
        <f t="shared" si="14"/>
        <v>0.98390640779955529</v>
      </c>
    </row>
    <row r="89" spans="1:11" x14ac:dyDescent="0.3">
      <c r="A89">
        <v>88</v>
      </c>
      <c r="B89" t="s">
        <v>14</v>
      </c>
      <c r="C89" s="9">
        <v>885</v>
      </c>
      <c r="D89" s="9">
        <v>485.4828</v>
      </c>
      <c r="E89">
        <f t="shared" si="10"/>
        <v>429652.27799999999</v>
      </c>
      <c r="F89" s="3">
        <f t="shared" si="13"/>
        <v>2.0273651581844687E-3</v>
      </c>
      <c r="G89">
        <f t="shared" si="9"/>
        <v>1.0526315789473684</v>
      </c>
      <c r="H89" s="12">
        <f t="shared" si="11"/>
        <v>92.631578947368524</v>
      </c>
      <c r="I89" s="3">
        <v>0.98907450846971323</v>
      </c>
      <c r="J89" s="4" t="str">
        <f t="shared" si="12"/>
        <v>C</v>
      </c>
      <c r="K89" s="3">
        <f t="shared" si="14"/>
        <v>0.98593377295773976</v>
      </c>
    </row>
    <row r="90" spans="1:11" x14ac:dyDescent="0.3">
      <c r="A90">
        <v>89</v>
      </c>
      <c r="B90" t="s">
        <v>43</v>
      </c>
      <c r="C90" s="9">
        <v>679</v>
      </c>
      <c r="D90" s="9">
        <v>625.84829999999999</v>
      </c>
      <c r="E90">
        <f t="shared" si="10"/>
        <v>424950.99569999997</v>
      </c>
      <c r="F90" s="3">
        <f t="shared" si="13"/>
        <v>2.0051816008711532E-3</v>
      </c>
      <c r="G90">
        <f t="shared" si="9"/>
        <v>1.0526315789473684</v>
      </c>
      <c r="H90" s="12">
        <f t="shared" si="11"/>
        <v>93.684210526315894</v>
      </c>
      <c r="I90" s="3">
        <v>0.99107969007058438</v>
      </c>
      <c r="J90" s="4" t="str">
        <f t="shared" si="12"/>
        <v>C</v>
      </c>
      <c r="K90" s="3">
        <f t="shared" si="14"/>
        <v>0.98793895455861092</v>
      </c>
    </row>
    <row r="91" spans="1:11" x14ac:dyDescent="0.3">
      <c r="A91">
        <v>90</v>
      </c>
      <c r="B91" t="s">
        <v>72</v>
      </c>
      <c r="C91" s="9">
        <v>746</v>
      </c>
      <c r="D91" s="9">
        <v>545.16690000000006</v>
      </c>
      <c r="E91">
        <f t="shared" si="10"/>
        <v>406694.50740000006</v>
      </c>
      <c r="F91" s="3">
        <f t="shared" si="13"/>
        <v>1.9190361986810567E-3</v>
      </c>
      <c r="G91">
        <f t="shared" si="9"/>
        <v>1.0526315789473684</v>
      </c>
      <c r="H91" s="12">
        <f t="shared" si="11"/>
        <v>94.736842105263264</v>
      </c>
      <c r="I91" s="3">
        <v>0.99299872626926544</v>
      </c>
      <c r="J91" s="4" t="str">
        <f t="shared" si="12"/>
        <v>C</v>
      </c>
      <c r="K91" s="3">
        <f t="shared" si="14"/>
        <v>0.98985799075729197</v>
      </c>
    </row>
    <row r="92" spans="1:11" x14ac:dyDescent="0.3">
      <c r="A92">
        <v>91</v>
      </c>
      <c r="B92" t="s">
        <v>46</v>
      </c>
      <c r="C92" s="9">
        <v>536</v>
      </c>
      <c r="D92" s="9">
        <v>745.3107</v>
      </c>
      <c r="E92">
        <f t="shared" si="10"/>
        <v>399486.53519999998</v>
      </c>
      <c r="F92" s="3">
        <f t="shared" si="13"/>
        <v>1.8850245282030498E-3</v>
      </c>
      <c r="G92">
        <f t="shared" si="9"/>
        <v>1.0526315789473684</v>
      </c>
      <c r="H92" s="12">
        <f t="shared" si="11"/>
        <v>95.789473684210634</v>
      </c>
      <c r="I92" s="3">
        <v>0.99488375079746849</v>
      </c>
      <c r="J92" s="4" t="str">
        <f t="shared" si="12"/>
        <v>C</v>
      </c>
      <c r="K92" s="3">
        <f t="shared" si="14"/>
        <v>0.99174301528549502</v>
      </c>
    </row>
    <row r="93" spans="1:11" x14ac:dyDescent="0.3">
      <c r="A93">
        <v>92</v>
      </c>
      <c r="B93" t="s">
        <v>26</v>
      </c>
      <c r="C93" s="9">
        <v>695</v>
      </c>
      <c r="D93" s="9">
        <v>415.3734</v>
      </c>
      <c r="E93">
        <f t="shared" si="10"/>
        <v>288684.51299999998</v>
      </c>
      <c r="F93" s="3">
        <f t="shared" si="13"/>
        <v>1.3621920639825813E-3</v>
      </c>
      <c r="G93">
        <f t="shared" si="9"/>
        <v>1.0526315789473684</v>
      </c>
      <c r="H93" s="12">
        <f t="shared" si="11"/>
        <v>96.842105263158004</v>
      </c>
      <c r="I93" s="3">
        <v>0.99624594286145107</v>
      </c>
      <c r="J93" s="4" t="str">
        <f t="shared" si="12"/>
        <v>C</v>
      </c>
      <c r="K93" s="3">
        <f t="shared" si="14"/>
        <v>0.9931052073494776</v>
      </c>
    </row>
    <row r="94" spans="1:11" x14ac:dyDescent="0.3">
      <c r="A94">
        <v>93</v>
      </c>
      <c r="B94" t="s">
        <v>17</v>
      </c>
      <c r="C94" s="9">
        <v>651</v>
      </c>
      <c r="D94" s="9">
        <v>415.5736</v>
      </c>
      <c r="E94">
        <f t="shared" si="10"/>
        <v>270538.41359999997</v>
      </c>
      <c r="F94" s="3">
        <f t="shared" si="13"/>
        <v>1.2765675448906944E-3</v>
      </c>
      <c r="G94">
        <f t="shared" si="9"/>
        <v>1.0526315789473684</v>
      </c>
      <c r="H94" s="12">
        <f t="shared" si="11"/>
        <v>97.894736842105374</v>
      </c>
      <c r="I94" s="3">
        <v>0.99752251040634177</v>
      </c>
      <c r="J94" s="4" t="str">
        <f t="shared" si="12"/>
        <v>C</v>
      </c>
      <c r="K94" s="3">
        <f t="shared" si="14"/>
        <v>0.9943817748943683</v>
      </c>
    </row>
    <row r="95" spans="1:11" x14ac:dyDescent="0.3">
      <c r="A95">
        <v>94</v>
      </c>
      <c r="B95" t="s">
        <v>94</v>
      </c>
      <c r="C95" s="9">
        <v>548</v>
      </c>
      <c r="D95" s="9">
        <v>485.35700000000003</v>
      </c>
      <c r="E95">
        <f t="shared" si="10"/>
        <v>265975.636</v>
      </c>
      <c r="F95" s="3">
        <f t="shared" si="13"/>
        <v>1.2550375384076107E-3</v>
      </c>
      <c r="G95">
        <f t="shared" si="9"/>
        <v>1.0526315789473684</v>
      </c>
      <c r="H95" s="12">
        <f t="shared" si="11"/>
        <v>98.947368421052744</v>
      </c>
      <c r="I95" s="3">
        <v>0.99877754794474938</v>
      </c>
      <c r="J95" s="4" t="str">
        <f t="shared" si="12"/>
        <v>C</v>
      </c>
      <c r="K95" s="3">
        <f t="shared" si="14"/>
        <v>0.99563681243277591</v>
      </c>
    </row>
    <row r="96" spans="1:11" x14ac:dyDescent="0.3">
      <c r="A96">
        <v>95</v>
      </c>
      <c r="B96" t="s">
        <v>95</v>
      </c>
      <c r="C96" s="9">
        <v>569</v>
      </c>
      <c r="D96" s="9">
        <v>455.30739999999997</v>
      </c>
      <c r="E96">
        <f t="shared" si="10"/>
        <v>259069.91059999997</v>
      </c>
      <c r="F96" s="3">
        <f t="shared" si="13"/>
        <v>1.2224520552510665E-3</v>
      </c>
      <c r="G96">
        <f t="shared" si="9"/>
        <v>1.0526315789473684</v>
      </c>
      <c r="H96" s="12">
        <f t="shared" si="11"/>
        <v>100.00000000000011</v>
      </c>
      <c r="I96" s="3">
        <v>1.0000000000000004</v>
      </c>
      <c r="J96" s="4" t="str">
        <f t="shared" si="12"/>
        <v>C</v>
      </c>
      <c r="K96" s="3">
        <v>1</v>
      </c>
    </row>
    <row r="97" spans="5:5" x14ac:dyDescent="0.3">
      <c r="E97">
        <f>SUM(E2:E96)</f>
        <v>212374767.63159996</v>
      </c>
    </row>
    <row r="174" spans="5:8" x14ac:dyDescent="0.3">
      <c r="F174"/>
    </row>
    <row r="175" spans="5:8" x14ac:dyDescent="0.3">
      <c r="F175"/>
    </row>
    <row r="176" spans="5:8" x14ac:dyDescent="0.3">
      <c r="E176" s="11"/>
      <c r="F176" s="3"/>
      <c r="G176" s="3"/>
      <c r="H176" s="3"/>
    </row>
    <row r="177" spans="5:8" x14ac:dyDescent="0.3">
      <c r="E177" s="5"/>
      <c r="F177" s="3"/>
      <c r="G177" s="3"/>
      <c r="H177" s="3"/>
    </row>
  </sheetData>
  <sortState xmlns:xlrd2="http://schemas.microsoft.com/office/spreadsheetml/2017/richdata2" ref="E2:E96">
    <sortCondition descending="1" ref="E2:E96"/>
  </sortState>
  <phoneticPr fontId="2" type="noConversion"/>
  <pageMargins left="0.7" right="0.7" top="0.75" bottom="0.75" header="0.3" footer="0.3"/>
  <pageSetup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2D8F-B29D-4487-98F2-E6D7B650D1C3}">
  <dimension ref="A1:T97"/>
  <sheetViews>
    <sheetView zoomScale="80" zoomScaleNormal="80" workbookViewId="0">
      <selection activeCell="T28" sqref="T28"/>
    </sheetView>
  </sheetViews>
  <sheetFormatPr defaultRowHeight="14.4" x14ac:dyDescent="0.3"/>
  <cols>
    <col min="2" max="2" width="8.88671875" style="3"/>
    <col min="20" max="20" width="38.109375" customWidth="1"/>
  </cols>
  <sheetData>
    <row r="1" spans="1:20" x14ac:dyDescent="0.3">
      <c r="A1" t="s">
        <v>101</v>
      </c>
      <c r="B1" s="3" t="s">
        <v>102</v>
      </c>
    </row>
    <row r="2" spans="1:20" x14ac:dyDescent="0.3">
      <c r="A2">
        <v>0</v>
      </c>
      <c r="B2" s="3">
        <v>0</v>
      </c>
    </row>
    <row r="3" spans="1:20" ht="37.200000000000003" customHeight="1" x14ac:dyDescent="0.95">
      <c r="A3">
        <v>1.0526315789473684</v>
      </c>
      <c r="B3" s="3">
        <v>7.6180167873210053E-2</v>
      </c>
      <c r="T3" s="13" t="s">
        <v>105</v>
      </c>
    </row>
    <row r="4" spans="1:20" x14ac:dyDescent="0.3">
      <c r="A4">
        <v>2.1052631578947367</v>
      </c>
      <c r="B4" s="3">
        <v>0.17587758139838797</v>
      </c>
    </row>
    <row r="5" spans="1:20" x14ac:dyDescent="0.3">
      <c r="A5">
        <v>3.1578947368421053</v>
      </c>
      <c r="B5" s="3">
        <v>0.29028770806372473</v>
      </c>
    </row>
    <row r="6" spans="1:20" x14ac:dyDescent="0.3">
      <c r="A6">
        <v>4.2105263157894735</v>
      </c>
      <c r="B6" s="3">
        <v>0.37710818006040636</v>
      </c>
    </row>
    <row r="7" spans="1:20" x14ac:dyDescent="0.3">
      <c r="A7">
        <v>5.2631578947368416</v>
      </c>
      <c r="B7" s="3">
        <v>0.44108655784375406</v>
      </c>
    </row>
    <row r="8" spans="1:20" x14ac:dyDescent="0.3">
      <c r="A8">
        <v>6.3157894736842097</v>
      </c>
      <c r="B8" s="3">
        <v>0.50012463338721225</v>
      </c>
    </row>
    <row r="9" spans="1:20" x14ac:dyDescent="0.3">
      <c r="A9">
        <v>7.3684210526315779</v>
      </c>
      <c r="B9" s="3">
        <v>0.56166164631266102</v>
      </c>
    </row>
    <row r="10" spans="1:20" x14ac:dyDescent="0.3">
      <c r="A10">
        <v>8.4210526315789469</v>
      </c>
      <c r="B10" s="3">
        <v>0.60141223195585769</v>
      </c>
    </row>
    <row r="11" spans="1:20" x14ac:dyDescent="0.3">
      <c r="A11">
        <v>9.473684210526315</v>
      </c>
      <c r="B11" s="3">
        <v>0.6194208001538003</v>
      </c>
    </row>
    <row r="12" spans="1:20" x14ac:dyDescent="0.3">
      <c r="A12">
        <v>10.526315789473683</v>
      </c>
      <c r="B12" s="3">
        <v>0.63330135392277187</v>
      </c>
    </row>
    <row r="13" spans="1:20" x14ac:dyDescent="0.3">
      <c r="A13">
        <v>11.578947368421051</v>
      </c>
      <c r="B13" s="3">
        <v>0.64700388253346552</v>
      </c>
    </row>
    <row r="14" spans="1:20" x14ac:dyDescent="0.3">
      <c r="A14">
        <v>12.631578947368419</v>
      </c>
      <c r="B14" s="3">
        <v>0.66009525074355058</v>
      </c>
    </row>
    <row r="15" spans="1:20" x14ac:dyDescent="0.3">
      <c r="A15">
        <v>13.684210526315788</v>
      </c>
      <c r="B15" s="3">
        <v>0.67208316421061198</v>
      </c>
    </row>
    <row r="16" spans="1:20" x14ac:dyDescent="0.3">
      <c r="A16">
        <v>14.736842105263156</v>
      </c>
      <c r="B16" s="3">
        <v>0.68372760251415576</v>
      </c>
    </row>
    <row r="17" spans="1:2" x14ac:dyDescent="0.3">
      <c r="A17">
        <v>15.789473684210524</v>
      </c>
      <c r="B17" s="3">
        <v>0.69473337590592832</v>
      </c>
    </row>
    <row r="18" spans="1:2" x14ac:dyDescent="0.3">
      <c r="A18">
        <v>16.842105263157894</v>
      </c>
      <c r="B18" s="3">
        <v>0.70275229579483989</v>
      </c>
    </row>
    <row r="19" spans="1:2" x14ac:dyDescent="0.3">
      <c r="A19">
        <v>17.894736842105264</v>
      </c>
      <c r="B19" s="3">
        <v>0.70934476064398844</v>
      </c>
    </row>
    <row r="20" spans="1:2" x14ac:dyDescent="0.3">
      <c r="A20">
        <v>18.947368421052634</v>
      </c>
      <c r="B20" s="3">
        <v>0.71584853722322728</v>
      </c>
    </row>
    <row r="21" spans="1:2" x14ac:dyDescent="0.3">
      <c r="A21">
        <v>20.000000000000004</v>
      </c>
      <c r="B21" s="3">
        <v>0.72230654339855771</v>
      </c>
    </row>
    <row r="22" spans="1:2" x14ac:dyDescent="0.3">
      <c r="A22">
        <v>21.052631578947373</v>
      </c>
      <c r="B22" s="3">
        <v>0.72862963227159228</v>
      </c>
    </row>
    <row r="23" spans="1:2" x14ac:dyDescent="0.3">
      <c r="A23">
        <v>22.105263157894743</v>
      </c>
      <c r="B23" s="3">
        <v>0.73468398282278957</v>
      </c>
    </row>
    <row r="24" spans="1:2" x14ac:dyDescent="0.3">
      <c r="A24">
        <v>23.157894736842113</v>
      </c>
      <c r="B24" s="3">
        <v>0.74048322706246961</v>
      </c>
    </row>
    <row r="25" spans="1:2" x14ac:dyDescent="0.3">
      <c r="A25">
        <v>24.210526315789483</v>
      </c>
      <c r="B25" s="3">
        <v>0.74624074380485117</v>
      </c>
    </row>
    <row r="26" spans="1:2" x14ac:dyDescent="0.3">
      <c r="A26">
        <v>25.263157894736853</v>
      </c>
      <c r="B26" s="3">
        <v>0.75196205765322099</v>
      </c>
    </row>
    <row r="27" spans="1:2" x14ac:dyDescent="0.3">
      <c r="A27">
        <v>26.315789473684223</v>
      </c>
      <c r="B27" s="3">
        <v>0.7575911075277505</v>
      </c>
    </row>
    <row r="28" spans="1:2" x14ac:dyDescent="0.3">
      <c r="A28">
        <v>27.368421052631593</v>
      </c>
      <c r="B28" s="3">
        <v>0.76321666953212841</v>
      </c>
    </row>
    <row r="29" spans="1:2" x14ac:dyDescent="0.3">
      <c r="A29">
        <v>28.421052631578963</v>
      </c>
      <c r="B29" s="3">
        <v>0.76871575051054597</v>
      </c>
    </row>
    <row r="30" spans="1:2" x14ac:dyDescent="0.3">
      <c r="A30">
        <v>29.473684210526333</v>
      </c>
      <c r="B30" s="3">
        <v>0.77418197674869893</v>
      </c>
    </row>
    <row r="31" spans="1:2" x14ac:dyDescent="0.3">
      <c r="A31">
        <v>30.526315789473703</v>
      </c>
      <c r="B31" s="3">
        <v>0.77958140660182251</v>
      </c>
    </row>
    <row r="32" spans="1:2" x14ac:dyDescent="0.3">
      <c r="A32">
        <v>31.578947368421073</v>
      </c>
      <c r="B32" s="3">
        <v>0.78484819761211411</v>
      </c>
    </row>
    <row r="33" spans="1:2" x14ac:dyDescent="0.3">
      <c r="A33">
        <v>32.631578947368439</v>
      </c>
      <c r="B33" s="3">
        <v>0.79006197699739666</v>
      </c>
    </row>
    <row r="34" spans="1:2" x14ac:dyDescent="0.3">
      <c r="A34">
        <v>33.684210526315809</v>
      </c>
      <c r="B34" s="3">
        <v>0.79519091288317589</v>
      </c>
    </row>
    <row r="35" spans="1:2" x14ac:dyDescent="0.3">
      <c r="A35">
        <v>34.736842105263179</v>
      </c>
      <c r="B35" s="3">
        <v>0.80021417527803473</v>
      </c>
    </row>
    <row r="36" spans="1:2" x14ac:dyDescent="0.3">
      <c r="A36">
        <v>35.789473684210549</v>
      </c>
      <c r="B36" s="3">
        <v>0.80523033100791608</v>
      </c>
    </row>
    <row r="37" spans="1:2" x14ac:dyDescent="0.3">
      <c r="A37">
        <v>36.842105263157919</v>
      </c>
      <c r="B37" s="3">
        <v>0.81023227668350739</v>
      </c>
    </row>
    <row r="38" spans="1:2" x14ac:dyDescent="0.3">
      <c r="A38">
        <v>37.894736842105289</v>
      </c>
      <c r="B38" s="3">
        <v>0.81520999864246135</v>
      </c>
    </row>
    <row r="39" spans="1:2" x14ac:dyDescent="0.3">
      <c r="A39">
        <v>38.947368421052659</v>
      </c>
      <c r="B39" s="3">
        <v>0.82018761282014863</v>
      </c>
    </row>
    <row r="40" spans="1:2" x14ac:dyDescent="0.3">
      <c r="A40">
        <v>40.000000000000028</v>
      </c>
      <c r="B40" s="3">
        <v>0.82514711410582109</v>
      </c>
    </row>
    <row r="41" spans="1:2" x14ac:dyDescent="0.3">
      <c r="A41">
        <v>41.052631578947398</v>
      </c>
      <c r="B41" s="3">
        <v>0.83007794256314738</v>
      </c>
    </row>
    <row r="42" spans="1:2" x14ac:dyDescent="0.3">
      <c r="A42">
        <v>42.105263157894768</v>
      </c>
      <c r="B42" s="3">
        <v>0.83492791255372523</v>
      </c>
    </row>
    <row r="43" spans="1:2" x14ac:dyDescent="0.3">
      <c r="A43">
        <v>43.157894736842138</v>
      </c>
      <c r="B43" s="3">
        <v>0.83969708246857022</v>
      </c>
    </row>
    <row r="44" spans="1:2" x14ac:dyDescent="0.3">
      <c r="A44">
        <v>44.210526315789508</v>
      </c>
      <c r="B44" s="3">
        <v>0.84439994863347478</v>
      </c>
    </row>
    <row r="45" spans="1:2" x14ac:dyDescent="0.3">
      <c r="A45">
        <v>45.263157894736878</v>
      </c>
      <c r="B45" s="3">
        <v>0.84894669707377324</v>
      </c>
    </row>
    <row r="46" spans="1:2" x14ac:dyDescent="0.3">
      <c r="A46">
        <v>46.315789473684248</v>
      </c>
      <c r="B46" s="3">
        <v>0.85344025910530164</v>
      </c>
    </row>
    <row r="47" spans="1:2" x14ac:dyDescent="0.3">
      <c r="A47">
        <v>47.368421052631618</v>
      </c>
      <c r="B47" s="3">
        <v>0.85788316166383638</v>
      </c>
    </row>
    <row r="48" spans="1:2" x14ac:dyDescent="0.3">
      <c r="A48">
        <v>48.421052631578988</v>
      </c>
      <c r="B48" s="3">
        <v>0.86231748305189138</v>
      </c>
    </row>
    <row r="49" spans="1:2" x14ac:dyDescent="0.3">
      <c r="A49">
        <v>49.473684210526358</v>
      </c>
      <c r="B49" s="3">
        <v>0.86668660797138808</v>
      </c>
    </row>
    <row r="50" spans="1:2" x14ac:dyDescent="0.3">
      <c r="A50">
        <v>50.526315789473728</v>
      </c>
      <c r="B50" s="3">
        <v>0.8710540636626275</v>
      </c>
    </row>
    <row r="51" spans="1:2" x14ac:dyDescent="0.3">
      <c r="A51">
        <v>51.578947368421098</v>
      </c>
      <c r="B51" s="3">
        <v>0.87533590221186308</v>
      </c>
    </row>
    <row r="52" spans="1:2" x14ac:dyDescent="0.3">
      <c r="A52">
        <v>52.631578947368467</v>
      </c>
      <c r="B52" s="3">
        <v>0.87950092652146361</v>
      </c>
    </row>
    <row r="53" spans="1:2" x14ac:dyDescent="0.3">
      <c r="A53">
        <v>53.684210526315837</v>
      </c>
      <c r="B53" s="3">
        <v>0.88342278155446818</v>
      </c>
    </row>
    <row r="54" spans="1:2" x14ac:dyDescent="0.3">
      <c r="A54">
        <v>54.736842105263207</v>
      </c>
      <c r="B54" s="3">
        <v>0.88729853288064853</v>
      </c>
    </row>
    <row r="55" spans="1:2" x14ac:dyDescent="0.3">
      <c r="A55">
        <v>55.789473684210577</v>
      </c>
      <c r="B55" s="3">
        <v>0.89100354428067763</v>
      </c>
    </row>
    <row r="56" spans="1:2" x14ac:dyDescent="0.3">
      <c r="A56">
        <v>56.842105263157947</v>
      </c>
      <c r="B56" s="3">
        <v>0.89470065059104464</v>
      </c>
    </row>
    <row r="57" spans="1:2" x14ac:dyDescent="0.3">
      <c r="A57">
        <v>57.894736842105317</v>
      </c>
      <c r="B57" s="3">
        <v>0.89836852370173714</v>
      </c>
    </row>
    <row r="58" spans="1:2" x14ac:dyDescent="0.3">
      <c r="A58">
        <v>58.947368421052687</v>
      </c>
      <c r="B58" s="3">
        <v>0.90195496657275498</v>
      </c>
    </row>
    <row r="59" spans="1:2" x14ac:dyDescent="0.3">
      <c r="A59">
        <v>60.000000000000057</v>
      </c>
      <c r="B59" s="3">
        <v>0.9054857926190385</v>
      </c>
    </row>
    <row r="60" spans="1:2" x14ac:dyDescent="0.3">
      <c r="A60">
        <v>61.052631578947427</v>
      </c>
      <c r="B60" s="3">
        <v>0.90888234617922181</v>
      </c>
    </row>
    <row r="61" spans="1:2" x14ac:dyDescent="0.3">
      <c r="A61">
        <v>62.105263157894797</v>
      </c>
      <c r="B61" s="3">
        <v>0.91219782925050275</v>
      </c>
    </row>
    <row r="62" spans="1:2" x14ac:dyDescent="0.3">
      <c r="A62">
        <v>63.157894736842167</v>
      </c>
      <c r="B62" s="3">
        <v>0.91540516384896342</v>
      </c>
    </row>
    <row r="63" spans="1:2" x14ac:dyDescent="0.3">
      <c r="A63">
        <v>64.210526315789537</v>
      </c>
      <c r="B63" s="3">
        <v>0.91856929152357625</v>
      </c>
    </row>
    <row r="64" spans="1:2" x14ac:dyDescent="0.3">
      <c r="A64">
        <v>65.263157894736906</v>
      </c>
      <c r="B64" s="3">
        <v>0.92169266201163247</v>
      </c>
    </row>
    <row r="65" spans="1:2" x14ac:dyDescent="0.3">
      <c r="A65">
        <v>66.315789473684276</v>
      </c>
      <c r="B65" s="3">
        <v>0.92478943972328242</v>
      </c>
    </row>
    <row r="66" spans="1:2" x14ac:dyDescent="0.3">
      <c r="A66">
        <v>67.368421052631646</v>
      </c>
      <c r="B66" s="3">
        <v>0.92783300916197209</v>
      </c>
    </row>
    <row r="67" spans="1:2" x14ac:dyDescent="0.3">
      <c r="A67">
        <v>68.421052631579016</v>
      </c>
      <c r="B67" s="3">
        <v>0.93084564784072932</v>
      </c>
    </row>
    <row r="68" spans="1:2" x14ac:dyDescent="0.3">
      <c r="A68">
        <v>69.473684210526386</v>
      </c>
      <c r="B68" s="3">
        <v>0.93383544676231056</v>
      </c>
    </row>
    <row r="69" spans="1:2" x14ac:dyDescent="0.3">
      <c r="A69">
        <v>70.526315789473756</v>
      </c>
      <c r="B69" s="3">
        <v>0.93678146300271636</v>
      </c>
    </row>
    <row r="70" spans="1:2" x14ac:dyDescent="0.3">
      <c r="A70">
        <v>71.578947368421126</v>
      </c>
      <c r="B70" s="3">
        <v>0.93971215374707129</v>
      </c>
    </row>
    <row r="71" spans="1:2" x14ac:dyDescent="0.3">
      <c r="A71">
        <v>72.631578947368496</v>
      </c>
      <c r="B71" s="3">
        <v>0.94263679862047389</v>
      </c>
    </row>
    <row r="72" spans="1:2" x14ac:dyDescent="0.3">
      <c r="A72">
        <v>73.684210526315866</v>
      </c>
      <c r="B72" s="3">
        <v>0.94551778090814598</v>
      </c>
    </row>
    <row r="73" spans="1:2" x14ac:dyDescent="0.3">
      <c r="A73">
        <v>74.736842105263236</v>
      </c>
      <c r="B73" s="3">
        <v>0.94828768148539155</v>
      </c>
    </row>
    <row r="74" spans="1:2" x14ac:dyDescent="0.3">
      <c r="A74">
        <v>75.789473684210606</v>
      </c>
      <c r="B74" s="3">
        <v>0.95028768148539156</v>
      </c>
    </row>
    <row r="75" spans="1:2" x14ac:dyDescent="0.3">
      <c r="A75">
        <v>76.842105263157976</v>
      </c>
      <c r="B75" s="3">
        <v>0.95228768148539156</v>
      </c>
    </row>
    <row r="76" spans="1:2" x14ac:dyDescent="0.3">
      <c r="A76">
        <v>77.894736842105345</v>
      </c>
      <c r="B76" s="3">
        <v>0.95438768148539155</v>
      </c>
    </row>
    <row r="77" spans="1:2" x14ac:dyDescent="0.3">
      <c r="A77">
        <v>78.947368421052715</v>
      </c>
      <c r="B77" s="3">
        <v>0.95658768148539153</v>
      </c>
    </row>
    <row r="78" spans="1:2" x14ac:dyDescent="0.3">
      <c r="A78">
        <v>80.000000000000085</v>
      </c>
      <c r="B78" s="3">
        <v>0.9588876814853915</v>
      </c>
    </row>
    <row r="79" spans="1:2" x14ac:dyDescent="0.3">
      <c r="A79">
        <v>81.052631578947455</v>
      </c>
      <c r="B79" s="3">
        <v>0.96128768148539145</v>
      </c>
    </row>
    <row r="80" spans="1:2" x14ac:dyDescent="0.3">
      <c r="A80">
        <v>82.105263157894825</v>
      </c>
      <c r="B80" s="3">
        <v>0.96384539721553919</v>
      </c>
    </row>
    <row r="81" spans="1:2" x14ac:dyDescent="0.3">
      <c r="A81">
        <v>83.157894736842195</v>
      </c>
      <c r="B81" s="3">
        <v>0.96627487133429779</v>
      </c>
    </row>
    <row r="82" spans="1:2" x14ac:dyDescent="0.3">
      <c r="A82">
        <v>84.210526315789565</v>
      </c>
      <c r="B82" s="3">
        <v>0.96869485071888373</v>
      </c>
    </row>
    <row r="83" spans="1:2" x14ac:dyDescent="0.3">
      <c r="A83">
        <v>85.263157894736935</v>
      </c>
      <c r="B83" s="3">
        <v>0.97107563143222608</v>
      </c>
    </row>
    <row r="84" spans="1:2" x14ac:dyDescent="0.3">
      <c r="A84">
        <v>86.315789473684305</v>
      </c>
      <c r="B84" s="3">
        <v>0.97327022139544517</v>
      </c>
    </row>
    <row r="85" spans="1:2" x14ac:dyDescent="0.3">
      <c r="A85">
        <v>87.368421052631675</v>
      </c>
      <c r="B85" s="3">
        <v>0.97542662947655412</v>
      </c>
    </row>
    <row r="86" spans="1:2" x14ac:dyDescent="0.3">
      <c r="A86">
        <v>88.421052631579045</v>
      </c>
      <c r="B86" s="3">
        <v>0.97758006411837084</v>
      </c>
    </row>
    <row r="87" spans="1:2" x14ac:dyDescent="0.3">
      <c r="A87">
        <v>89.473684210526415</v>
      </c>
      <c r="B87" s="3">
        <v>0.979731957825975</v>
      </c>
    </row>
    <row r="88" spans="1:2" x14ac:dyDescent="0.3">
      <c r="A88">
        <v>90.526315789473784</v>
      </c>
      <c r="B88" s="3">
        <v>0.98185033048994619</v>
      </c>
    </row>
    <row r="89" spans="1:2" x14ac:dyDescent="0.3">
      <c r="A89">
        <v>91.578947368421154</v>
      </c>
      <c r="B89" s="3">
        <v>0.98390640779955529</v>
      </c>
    </row>
    <row r="90" spans="1:2" x14ac:dyDescent="0.3">
      <c r="A90">
        <v>92.631578947368524</v>
      </c>
      <c r="B90" s="3">
        <v>0.98593377295773976</v>
      </c>
    </row>
    <row r="91" spans="1:2" x14ac:dyDescent="0.3">
      <c r="A91">
        <v>93.684210526315894</v>
      </c>
      <c r="B91" s="3">
        <v>0.98793895455861092</v>
      </c>
    </row>
    <row r="92" spans="1:2" x14ac:dyDescent="0.3">
      <c r="A92">
        <v>94.736842105263264</v>
      </c>
      <c r="B92" s="3">
        <v>0.98985799075729197</v>
      </c>
    </row>
    <row r="93" spans="1:2" x14ac:dyDescent="0.3">
      <c r="A93">
        <v>95.789473684210634</v>
      </c>
      <c r="B93" s="3">
        <v>0.99174301528549502</v>
      </c>
    </row>
    <row r="94" spans="1:2" x14ac:dyDescent="0.3">
      <c r="A94">
        <v>96.842105263158004</v>
      </c>
      <c r="B94" s="3">
        <v>0.9931052073494776</v>
      </c>
    </row>
    <row r="95" spans="1:2" x14ac:dyDescent="0.3">
      <c r="A95">
        <v>97.894736842105374</v>
      </c>
      <c r="B95" s="3">
        <v>0.9943817748943683</v>
      </c>
    </row>
    <row r="96" spans="1:2" x14ac:dyDescent="0.3">
      <c r="A96">
        <v>98.947368421052744</v>
      </c>
      <c r="B96" s="3">
        <v>0.99563681243277591</v>
      </c>
    </row>
    <row r="97" spans="1:2" x14ac:dyDescent="0.3">
      <c r="A97">
        <v>100.00000000000011</v>
      </c>
      <c r="B97" s="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61AD-F020-4506-89E7-E92AAD9446F6}">
  <dimension ref="A1"/>
  <sheetViews>
    <sheetView tabSelected="1" workbookViewId="0">
      <selection activeCell="R14" sqref="R14"/>
    </sheetView>
  </sheetViews>
  <sheetFormatPr defaultRowHeight="14.4" x14ac:dyDescent="0.3"/>
  <cols>
    <col min="1" max="1" width="8.88671875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 Data</vt:lpstr>
      <vt:lpstr>Final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2025-06-05T11:20:00Z</cp:lastPrinted>
  <dcterms:created xsi:type="dcterms:W3CDTF">2025-02-21T16:59:59Z</dcterms:created>
  <dcterms:modified xsi:type="dcterms:W3CDTF">2026-07-26T08:03:14Z</dcterms:modified>
</cp:coreProperties>
</file>